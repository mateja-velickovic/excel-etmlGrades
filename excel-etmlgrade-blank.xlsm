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t63blc\Desktop\"/>
    </mc:Choice>
  </mc:AlternateContent>
  <xr:revisionPtr revIDLastSave="0" documentId="13_ncr:1_{DE835B63-AA6E-497C-89CA-0B589975C20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2ème" sheetId="1" r:id="rId1"/>
    <sheet name="3ème" sheetId="2" r:id="rId2"/>
    <sheet name="4èm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1" l="1"/>
  <c r="S17" i="1"/>
  <c r="R17" i="1"/>
  <c r="Q17" i="1"/>
  <c r="P17" i="1"/>
  <c r="R13" i="1"/>
  <c r="Q13" i="1"/>
  <c r="P13" i="1"/>
  <c r="Q9" i="1"/>
  <c r="P9" i="1"/>
  <c r="R5" i="1"/>
  <c r="Q5" i="1"/>
  <c r="F17" i="1" a="1"/>
  <c r="F17" i="1" s="1"/>
  <c r="G34" i="1"/>
  <c r="E34" i="1"/>
  <c r="C34" i="1"/>
  <c r="G30" i="1"/>
  <c r="E30" i="1"/>
  <c r="C30" i="1"/>
  <c r="I22" i="1"/>
  <c r="G26" i="1"/>
  <c r="E26" i="1"/>
  <c r="R9" i="1" s="1"/>
  <c r="C26" i="1"/>
  <c r="G22" i="1"/>
  <c r="E22" i="1"/>
  <c r="C22" i="1"/>
  <c r="P5" i="1" s="1"/>
  <c r="B17" i="1"/>
  <c r="H14" i="1"/>
  <c r="I14" i="1"/>
  <c r="Q10" i="1"/>
  <c r="Q11" i="1"/>
  <c r="Q12" i="1"/>
  <c r="P2" i="1"/>
  <c r="Q2" i="1"/>
  <c r="Q4" i="1" l="1"/>
  <c r="R4" i="1" l="1"/>
  <c r="P8" i="1"/>
  <c r="P12" i="1" l="1"/>
  <c r="P11" i="1"/>
  <c r="R8" i="1"/>
  <c r="R7" i="1"/>
  <c r="Q8" i="1"/>
  <c r="Q7" i="1"/>
  <c r="P4" i="1"/>
  <c r="R3" i="1"/>
  <c r="Q15" i="1"/>
  <c r="Q14" i="1"/>
  <c r="P15" i="1"/>
  <c r="R11" i="1"/>
  <c r="Q3" i="1"/>
  <c r="Q6" i="1"/>
  <c r="S16" i="1"/>
  <c r="S15" i="1"/>
  <c r="R16" i="1"/>
  <c r="R15" i="1"/>
  <c r="P16" i="1"/>
  <c r="R12" i="1"/>
  <c r="S14" i="1"/>
  <c r="R14" i="1"/>
  <c r="P14" i="1"/>
  <c r="R10" i="1"/>
  <c r="P10" i="1"/>
  <c r="R6" i="1"/>
  <c r="P3" i="1"/>
  <c r="P7" i="1"/>
  <c r="P6" i="1"/>
  <c r="H3" i="3"/>
  <c r="I3" i="3"/>
  <c r="J3" i="3"/>
  <c r="K3" i="3"/>
  <c r="L3" i="3"/>
  <c r="E31" i="3"/>
  <c r="D31" i="3"/>
  <c r="C31" i="3"/>
  <c r="E31" i="2"/>
  <c r="D31" i="2"/>
  <c r="C31" i="2"/>
  <c r="E19" i="3"/>
  <c r="D19" i="3"/>
  <c r="C19" i="3"/>
  <c r="E10" i="3"/>
  <c r="D10" i="3"/>
  <c r="C10" i="3"/>
  <c r="M9" i="3"/>
  <c r="L9" i="3"/>
  <c r="K9" i="3"/>
  <c r="J9" i="3"/>
  <c r="I9" i="3"/>
  <c r="H9" i="3"/>
  <c r="M8" i="3"/>
  <c r="L8" i="3"/>
  <c r="K8" i="3"/>
  <c r="J8" i="3"/>
  <c r="I8" i="3"/>
  <c r="H8" i="3"/>
  <c r="M7" i="3"/>
  <c r="L7" i="3"/>
  <c r="K7" i="3"/>
  <c r="J7" i="3"/>
  <c r="I7" i="3"/>
  <c r="H7" i="3"/>
  <c r="M6" i="3"/>
  <c r="L6" i="3"/>
  <c r="K6" i="3"/>
  <c r="J6" i="3"/>
  <c r="I6" i="3"/>
  <c r="H6" i="3"/>
  <c r="M5" i="3"/>
  <c r="L5" i="3"/>
  <c r="K5" i="3"/>
  <c r="J5" i="3"/>
  <c r="I5" i="3"/>
  <c r="H5" i="3"/>
  <c r="M4" i="3"/>
  <c r="L4" i="3"/>
  <c r="K4" i="3"/>
  <c r="J4" i="3"/>
  <c r="I4" i="3"/>
  <c r="H4" i="3"/>
  <c r="M3" i="3"/>
  <c r="M2" i="3"/>
  <c r="L2" i="3"/>
  <c r="K2" i="3"/>
  <c r="J2" i="3"/>
  <c r="I2" i="3"/>
  <c r="G2" i="3"/>
  <c r="J6" i="2"/>
  <c r="E19" i="2"/>
  <c r="D19" i="2"/>
  <c r="C19" i="2"/>
  <c r="E10" i="2"/>
  <c r="D10" i="2"/>
  <c r="C10" i="2"/>
  <c r="M9" i="2"/>
  <c r="L9" i="2"/>
  <c r="K9" i="2"/>
  <c r="J9" i="2"/>
  <c r="I9" i="2"/>
  <c r="H9" i="2"/>
  <c r="M8" i="2"/>
  <c r="L8" i="2"/>
  <c r="K8" i="2"/>
  <c r="J8" i="2"/>
  <c r="I8" i="2"/>
  <c r="H8" i="2"/>
  <c r="M7" i="2"/>
  <c r="L7" i="2"/>
  <c r="K7" i="2"/>
  <c r="J7" i="2"/>
  <c r="I7" i="2"/>
  <c r="H7" i="2"/>
  <c r="M6" i="2"/>
  <c r="L6" i="2"/>
  <c r="K6" i="2"/>
  <c r="I6" i="2"/>
  <c r="H6" i="2"/>
  <c r="M5" i="2"/>
  <c r="L5" i="2"/>
  <c r="K5" i="2"/>
  <c r="J5" i="2"/>
  <c r="I5" i="2"/>
  <c r="H5" i="2"/>
  <c r="M4" i="2"/>
  <c r="L4" i="2"/>
  <c r="K4" i="2"/>
  <c r="J4" i="2"/>
  <c r="I4" i="2"/>
  <c r="H4" i="2"/>
  <c r="M3" i="2"/>
  <c r="L3" i="2"/>
  <c r="K3" i="2"/>
  <c r="J3" i="2"/>
  <c r="I3" i="2"/>
  <c r="H3" i="2"/>
  <c r="M2" i="2"/>
  <c r="L2" i="2"/>
  <c r="K2" i="2"/>
  <c r="J2" i="2"/>
  <c r="I2" i="2"/>
  <c r="G2" i="2"/>
  <c r="Q16" i="1"/>
  <c r="R2" i="1"/>
  <c r="M10" i="2" l="1"/>
  <c r="H10" i="2"/>
  <c r="I10" i="3"/>
  <c r="K10" i="2"/>
  <c r="L10" i="2"/>
  <c r="I10" i="2"/>
  <c r="M10" i="3"/>
  <c r="M11" i="3"/>
  <c r="J10" i="3" s="1"/>
  <c r="K10" i="3"/>
  <c r="L10" i="3"/>
  <c r="H10" i="3"/>
  <c r="M11" i="2"/>
  <c r="J10" i="2" s="1"/>
  <c r="G14" i="1"/>
  <c r="D17" i="1"/>
  <c r="J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<sst xmlns="http://schemas.openxmlformats.org/spreadsheetml/2006/main" count="387" uniqueCount="60">
  <si>
    <t>I1</t>
  </si>
  <si>
    <t>I2</t>
  </si>
  <si>
    <t>I3</t>
  </si>
  <si>
    <t>TRIMESTRE 1</t>
  </si>
  <si>
    <t>I4</t>
  </si>
  <si>
    <t>I5</t>
  </si>
  <si>
    <t>I6</t>
  </si>
  <si>
    <t>TRIMESTRE 2</t>
  </si>
  <si>
    <t>TRIMESTRE 3</t>
  </si>
  <si>
    <t>TRIMESTRE 4</t>
  </si>
  <si>
    <t>P_XXX</t>
  </si>
  <si>
    <t>24P</t>
  </si>
  <si>
    <t>32P</t>
  </si>
  <si>
    <t>-</t>
  </si>
  <si>
    <t>PROJETS SEMESTRE 2</t>
  </si>
  <si>
    <t>SEMESTRE 2</t>
  </si>
  <si>
    <t>SEMESTRE 1</t>
  </si>
  <si>
    <t>PROJETS SEMESTRE 1</t>
  </si>
  <si>
    <t>ECG</t>
  </si>
  <si>
    <t>ANG</t>
  </si>
  <si>
    <t>MAT</t>
  </si>
  <si>
    <t>NOTES THÉORIQUES</t>
  </si>
  <si>
    <t>&lt; %</t>
  </si>
  <si>
    <t>INFO</t>
  </si>
  <si>
    <t>GÉNÉ</t>
  </si>
  <si>
    <t>PA = PAS ACQUIS</t>
  </si>
  <si>
    <t>A = ACQUIS</t>
  </si>
  <si>
    <t>PA</t>
  </si>
  <si>
    <t>NON ACQUIS</t>
  </si>
  <si>
    <t>PARTIELLEMET ACQUIS</t>
  </si>
  <si>
    <t>Grades are calculated as 1/10 in the columns where they are entered and then as 5/10 in the grade table for the year.</t>
  </si>
  <si>
    <t>Grade percentages ranging from 1 to 100 are assigned 1 or 2 grades per module.</t>
  </si>
  <si>
    <t>CALCULATION RULES</t>
  </si>
  <si>
    <t>THEORETICAL GRADES</t>
  </si>
  <si>
    <t>PROJECT GRADES</t>
  </si>
  <si>
    <t>NAME</t>
  </si>
  <si>
    <t>GRADE</t>
  </si>
  <si>
    <t>PERIODS</t>
  </si>
  <si>
    <t>MAT &amp; ANG</t>
  </si>
  <si>
    <t>PROJECT</t>
  </si>
  <si>
    <t>FIRST TRIMESTER</t>
  </si>
  <si>
    <t>SECOND TRIMESTER</t>
  </si>
  <si>
    <t>THIRD TRIMESTER</t>
  </si>
  <si>
    <t>FOURTH TRIMESTER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</si>
  <si>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</si>
  <si>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</si>
  <si>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</si>
  <si>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</si>
  <si>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</si>
  <si>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</si>
  <si>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</si>
  <si>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</si>
  <si>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</si>
  <si>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</si>
  <si>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</si>
  <si>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</si>
  <si>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</si>
  <si>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FULL YEAR (ROUNDED)</t>
  </si>
  <si>
    <t>Projects are graded in earned or non-earned form with a percentage calculation, 80% is required to meet the passing condition.</t>
  </si>
  <si>
    <t>DO NOT WRITE HERE!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</si>
</sst>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8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1" tint="0.499984740745262"/>
      <name val="Calibri"/>
      <family val="2"/>
    </font>
    <font>
      <sz val="12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rgb="FF000000"/>
      <name val="Calibri"/>
      <family val="2"/>
    </font>
    <font>
      <b/>
      <i/>
      <sz val="14"/>
      <color theme="1" tint="0.499984740745262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  <fill>
      <patternFill patternType="solid">
        <fgColor rgb="FFC00000"/>
        <bgColor rgb="FFC00000"/>
      </patternFill>
    </fill>
    <fill>
      <patternFill patternType="solid">
        <fgColor rgb="FFED7D31"/>
        <bgColor rgb="FFED7D31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rgb="FFFFFFFF"/>
      </patternFill>
    </fill>
  </fills>
  <borders count="3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Font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2" fontId="0" fillId="5" borderId="0" xfId="0" applyNumberFormat="1" applyFill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2" fontId="0" fillId="5" borderId="8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11" xfId="0" applyNumberFormat="1" applyFill="1" applyBorder="1" applyAlignment="1">
      <alignment horizontal="center" vertical="center"/>
    </xf>
    <xf numFmtId="2" fontId="0" fillId="5" borderId="12" xfId="0" applyNumberFormat="1" applyFill="1" applyBorder="1" applyAlignment="1">
      <alignment horizontal="center" vertical="center"/>
    </xf>
    <xf numFmtId="0" fontId="0" fillId="5" borderId="0" xfId="0" applyFill="1"/>
    <xf numFmtId="2" fontId="0" fillId="7" borderId="0" xfId="0" applyNumberFormat="1" applyFill="1" applyAlignment="1">
      <alignment horizontal="center" vertical="center"/>
    </xf>
    <xf numFmtId="2" fontId="0" fillId="5" borderId="14" xfId="0" applyNumberFormat="1" applyFill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2" fontId="0" fillId="7" borderId="0" xfId="0" applyNumberFormat="1" applyFill="1" applyAlignment="1">
      <alignment vertical="center"/>
    </xf>
    <xf numFmtId="2" fontId="0" fillId="7" borderId="0" xfId="0" applyNumberFormat="1" applyFill="1" applyAlignment="1">
      <alignment vertical="center" textRotation="90"/>
    </xf>
    <xf numFmtId="2" fontId="0" fillId="8" borderId="0" xfId="0" applyNumberFormat="1" applyFill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2" fontId="0" fillId="10" borderId="13" xfId="0" applyNumberFormat="1" applyFill="1" applyBorder="1" applyAlignment="1">
      <alignment horizontal="center" vertical="center"/>
    </xf>
    <xf numFmtId="2" fontId="0" fillId="10" borderId="14" xfId="0" applyNumberFormat="1" applyFill="1" applyBorder="1" applyAlignment="1">
      <alignment horizontal="center" vertical="center"/>
    </xf>
    <xf numFmtId="2" fontId="0" fillId="10" borderId="15" xfId="0" applyNumberFormat="1" applyFill="1" applyBorder="1" applyAlignment="1">
      <alignment horizontal="center" vertical="center"/>
    </xf>
    <xf numFmtId="2" fontId="0" fillId="5" borderId="21" xfId="0" applyNumberFormat="1" applyFill="1" applyBorder="1" applyAlignment="1">
      <alignment horizontal="center" vertical="center"/>
    </xf>
    <xf numFmtId="2" fontId="0" fillId="5" borderId="22" xfId="0" applyNumberFormat="1" applyFill="1" applyBorder="1" applyAlignment="1">
      <alignment horizontal="center" vertical="center"/>
    </xf>
    <xf numFmtId="2" fontId="0" fillId="5" borderId="23" xfId="0" applyNumberFormat="1" applyFill="1" applyBorder="1" applyAlignment="1">
      <alignment horizontal="center" vertical="center"/>
    </xf>
    <xf numFmtId="2" fontId="6" fillId="10" borderId="0" xfId="0" applyNumberFormat="1" applyFont="1" applyFill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vertical="center" textRotation="90"/>
    </xf>
    <xf numFmtId="2" fontId="7" fillId="10" borderId="0" xfId="0" applyNumberFormat="1" applyFont="1" applyFill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left" vertical="center"/>
    </xf>
    <xf numFmtId="2" fontId="7" fillId="10" borderId="22" xfId="0" applyNumberFormat="1" applyFont="1" applyFill="1" applyBorder="1" applyAlignment="1">
      <alignment horizontal="right" vertical="center"/>
    </xf>
    <xf numFmtId="2" fontId="6" fillId="10" borderId="27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left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right" vertical="center"/>
    </xf>
    <xf numFmtId="2" fontId="6" fillId="10" borderId="0" xfId="0" applyNumberFormat="1" applyFont="1" applyFill="1" applyAlignment="1">
      <alignment horizontal="center" vertical="center" wrapText="1"/>
    </xf>
    <xf numFmtId="2" fontId="6" fillId="10" borderId="22" xfId="0" applyNumberFormat="1" applyFont="1" applyFill="1" applyBorder="1" applyAlignment="1">
      <alignment horizontal="center" vertical="center"/>
    </xf>
    <xf numFmtId="2" fontId="6" fillId="10" borderId="28" xfId="0" applyNumberFormat="1" applyFont="1" applyFill="1" applyBorder="1" applyAlignment="1">
      <alignment horizontal="center" vertical="center"/>
    </xf>
    <xf numFmtId="2" fontId="7" fillId="9" borderId="19" xfId="0" applyNumberFormat="1" applyFont="1" applyFill="1" applyBorder="1" applyAlignment="1">
      <alignment horizontal="center" vertical="center"/>
    </xf>
    <xf numFmtId="2" fontId="7" fillId="10" borderId="24" xfId="0" applyNumberFormat="1" applyFont="1" applyFill="1" applyBorder="1" applyAlignment="1">
      <alignment horizontal="center" vertical="center"/>
    </xf>
    <xf numFmtId="2" fontId="9" fillId="10" borderId="21" xfId="0" applyNumberFormat="1" applyFont="1" applyFill="1" applyBorder="1" applyAlignment="1">
      <alignment horizontal="center" vertical="center"/>
    </xf>
    <xf numFmtId="9" fontId="9" fillId="10" borderId="22" xfId="4" applyFont="1" applyFill="1" applyBorder="1" applyAlignment="1">
      <alignment horizontal="center" vertical="center"/>
    </xf>
    <xf numFmtId="2" fontId="9" fillId="10" borderId="25" xfId="0" applyNumberFormat="1" applyFont="1" applyFill="1" applyBorder="1" applyAlignment="1">
      <alignment horizontal="center" vertical="center"/>
    </xf>
    <xf numFmtId="9" fontId="9" fillId="10" borderId="0" xfId="4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horizontal="center" vertical="center"/>
    </xf>
    <xf numFmtId="2" fontId="6" fillId="9" borderId="25" xfId="0" applyNumberFormat="1" applyFont="1" applyFill="1" applyBorder="1" applyAlignment="1">
      <alignment horizontal="center" vertical="center"/>
    </xf>
    <xf numFmtId="2" fontId="6" fillId="9" borderId="19" xfId="0" applyNumberFormat="1" applyFont="1" applyFill="1" applyBorder="1" applyAlignment="1">
      <alignment horizontal="center" vertical="center"/>
    </xf>
    <xf numFmtId="2" fontId="6" fillId="10" borderId="24" xfId="0" applyNumberFormat="1" applyFont="1" applyFill="1" applyBorder="1" applyAlignment="1">
      <alignment horizontal="center" vertical="center"/>
    </xf>
    <xf numFmtId="2" fontId="6" fillId="9" borderId="24" xfId="0" applyNumberFormat="1" applyFont="1" applyFill="1" applyBorder="1" applyAlignment="1">
      <alignment horizontal="center" vertical="center"/>
    </xf>
    <xf numFmtId="2" fontId="6" fillId="9" borderId="22" xfId="0" applyNumberFormat="1" applyFont="1" applyFill="1" applyBorder="1" applyAlignment="1">
      <alignment horizontal="center" vertical="center"/>
    </xf>
    <xf numFmtId="2" fontId="6" fillId="10" borderId="26" xfId="0" applyNumberFormat="1" applyFont="1" applyFill="1" applyBorder="1" applyAlignment="1">
      <alignment horizontal="center" vertical="center"/>
    </xf>
    <xf numFmtId="2" fontId="10" fillId="9" borderId="29" xfId="0" applyNumberFormat="1" applyFont="1" applyFill="1" applyBorder="1" applyAlignment="1">
      <alignment horizontal="center" vertical="center" textRotation="90"/>
    </xf>
    <xf numFmtId="2" fontId="10" fillId="9" borderId="30" xfId="0" applyNumberFormat="1" applyFont="1" applyFill="1" applyBorder="1" applyAlignment="1">
      <alignment horizontal="center" vertical="center" textRotation="90"/>
    </xf>
    <xf numFmtId="2" fontId="10" fillId="9" borderId="31" xfId="0" applyNumberFormat="1" applyFont="1" applyFill="1" applyBorder="1" applyAlignment="1">
      <alignment horizontal="center" vertical="center" textRotation="90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center" vertical="center"/>
    </xf>
    <xf numFmtId="2" fontId="5" fillId="10" borderId="19" xfId="0" applyNumberFormat="1" applyFont="1" applyFill="1" applyBorder="1" applyAlignment="1">
      <alignment horizontal="center" vertical="center"/>
    </xf>
    <xf numFmtId="2" fontId="7" fillId="10" borderId="26" xfId="0" applyNumberFormat="1" applyFont="1" applyFill="1" applyBorder="1" applyAlignment="1">
      <alignment horizontal="center" vertical="center"/>
    </xf>
    <xf numFmtId="2" fontId="4" fillId="9" borderId="19" xfId="0" applyNumberFormat="1" applyFont="1" applyFill="1" applyBorder="1" applyAlignment="1">
      <alignment horizontal="center" vertical="center" textRotation="90" wrapText="1"/>
    </xf>
    <xf numFmtId="2" fontId="4" fillId="9" borderId="24" xfId="0" applyNumberFormat="1" applyFont="1" applyFill="1" applyBorder="1" applyAlignment="1">
      <alignment horizontal="center" vertical="center" textRotation="90" wrapText="1"/>
    </xf>
    <xf numFmtId="2" fontId="4" fillId="9" borderId="26" xfId="0" applyNumberFormat="1" applyFont="1" applyFill="1" applyBorder="1" applyAlignment="1">
      <alignment horizontal="center" vertical="center" textRotation="90" wrapText="1"/>
    </xf>
    <xf numFmtId="2" fontId="11" fillId="10" borderId="24" xfId="0" applyNumberFormat="1" applyFont="1" applyFill="1" applyBorder="1" applyAlignment="1">
      <alignment horizontal="left" vertical="center" textRotation="180"/>
    </xf>
    <xf numFmtId="2" fontId="10" fillId="9" borderId="32" xfId="0" applyNumberFormat="1" applyFont="1" applyFill="1" applyBorder="1" applyAlignment="1">
      <alignment horizontal="center" vertical="center" textRotation="180"/>
    </xf>
    <xf numFmtId="2" fontId="10" fillId="9" borderId="33" xfId="0" applyNumberFormat="1" applyFont="1" applyFill="1" applyBorder="1" applyAlignment="1">
      <alignment horizontal="center" vertical="center" textRotation="180"/>
    </xf>
    <xf numFmtId="2" fontId="10" fillId="9" borderId="34" xfId="0" applyNumberFormat="1" applyFont="1" applyFill="1" applyBorder="1" applyAlignment="1">
      <alignment horizontal="center" vertical="center" textRotation="180"/>
    </xf>
    <xf numFmtId="2" fontId="5" fillId="10" borderId="13" xfId="0" applyNumberFormat="1" applyFont="1" applyFill="1" applyBorder="1" applyAlignment="1">
      <alignment horizontal="center" vertical="center"/>
    </xf>
    <xf numFmtId="2" fontId="5" fillId="10" borderId="14" xfId="0" applyNumberFormat="1" applyFont="1" applyFill="1" applyBorder="1" applyAlignment="1">
      <alignment horizontal="center" vertical="center"/>
    </xf>
    <xf numFmtId="2" fontId="5" fillId="10" borderId="15" xfId="0" applyNumberFormat="1" applyFont="1" applyFill="1" applyBorder="1" applyAlignment="1">
      <alignment horizontal="center" vertical="center"/>
    </xf>
    <xf numFmtId="2" fontId="8" fillId="10" borderId="19" xfId="0" applyNumberFormat="1" applyFont="1" applyFill="1" applyBorder="1" applyAlignment="1">
      <alignment horizontal="left" vertical="center" wrapText="1"/>
    </xf>
    <xf numFmtId="2" fontId="8" fillId="10" borderId="25" xfId="0" applyNumberFormat="1" applyFont="1" applyFill="1" applyBorder="1" applyAlignment="1">
      <alignment horizontal="left" vertical="center" wrapText="1"/>
    </xf>
    <xf numFmtId="2" fontId="8" fillId="10" borderId="21" xfId="0" applyNumberFormat="1" applyFont="1" applyFill="1" applyBorder="1" applyAlignment="1">
      <alignment horizontal="left" vertical="center" wrapText="1"/>
    </xf>
    <xf numFmtId="2" fontId="8" fillId="10" borderId="24" xfId="0" applyNumberFormat="1" applyFont="1" applyFill="1" applyBorder="1" applyAlignment="1">
      <alignment horizontal="left" vertical="center" wrapText="1"/>
    </xf>
    <xf numFmtId="2" fontId="8" fillId="10" borderId="0" xfId="0" applyNumberFormat="1" applyFont="1" applyFill="1" applyAlignment="1">
      <alignment horizontal="left" vertical="center" wrapText="1"/>
    </xf>
    <xf numFmtId="2" fontId="8" fillId="10" borderId="22" xfId="0" applyNumberFormat="1" applyFont="1" applyFill="1" applyBorder="1" applyAlignment="1">
      <alignment horizontal="left" vertical="center" wrapText="1"/>
    </xf>
    <xf numFmtId="2" fontId="8" fillId="10" borderId="26" xfId="0" applyNumberFormat="1" applyFont="1" applyFill="1" applyBorder="1" applyAlignment="1">
      <alignment horizontal="left" vertical="center" wrapText="1"/>
    </xf>
    <xf numFmtId="2" fontId="8" fillId="10" borderId="27" xfId="0" applyNumberFormat="1" applyFont="1" applyFill="1" applyBorder="1" applyAlignment="1">
      <alignment horizontal="left" vertical="center" wrapText="1"/>
    </xf>
    <xf numFmtId="2" fontId="8" fillId="10" borderId="28" xfId="0" applyNumberFormat="1" applyFont="1" applyFill="1" applyBorder="1" applyAlignment="1">
      <alignment horizontal="left" vertical="center" wrapText="1"/>
    </xf>
    <xf numFmtId="2" fontId="0" fillId="6" borderId="16" xfId="0" applyNumberFormat="1" applyFill="1" applyBorder="1" applyAlignment="1">
      <alignment horizontal="center" vertical="center" textRotation="90"/>
    </xf>
    <xf numFmtId="2" fontId="0" fillId="6" borderId="17" xfId="0" applyNumberFormat="1" applyFill="1" applyBorder="1" applyAlignment="1">
      <alignment horizontal="center" vertical="center" textRotation="90"/>
    </xf>
    <xf numFmtId="2" fontId="0" fillId="6" borderId="18" xfId="0" applyNumberFormat="1" applyFill="1" applyBorder="1" applyAlignment="1">
      <alignment horizontal="center" vertical="center" textRotation="90"/>
    </xf>
    <xf numFmtId="2" fontId="0" fillId="6" borderId="1" xfId="0" applyNumberFormat="1" applyFill="1" applyBorder="1" applyAlignment="1">
      <alignment horizontal="center" vertical="center"/>
    </xf>
    <xf numFmtId="2" fontId="0" fillId="6" borderId="4" xfId="0" applyNumberFormat="1" applyFill="1" applyBorder="1" applyAlignment="1">
      <alignment horizontal="center" vertical="center" textRotation="90"/>
    </xf>
    <xf numFmtId="2" fontId="0" fillId="6" borderId="19" xfId="0" applyNumberFormat="1" applyFill="1" applyBorder="1" applyAlignment="1">
      <alignment horizontal="center" vertical="center" textRotation="90"/>
    </xf>
  </cellXfs>
  <cellStyles count="5">
    <cellStyle name="cf1" xfId="1" xr:uid="{00000000-0005-0000-0000-000000000000}"/>
    <cellStyle name="cf2" xfId="2" xr:uid="{00000000-0005-0000-0000-000001000000}"/>
    <cellStyle name="cf3" xfId="3" xr:uid="{00000000-0005-0000-0000-000002000000}"/>
    <cellStyle name="Normal" xfId="0" builtinId="0" customBuiltin="1"/>
    <cellStyle name="Pourcentage" xfId="4" builtinId="5"/>
  </cellStyles>
  <dxfs count="76"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E49"/>
  <sheetViews>
    <sheetView tabSelected="1" zoomScaleNormal="100" workbookViewId="0">
      <selection activeCell="P24" sqref="P24"/>
    </sheetView>
  </sheetViews>
  <sheetFormatPr baseColWidth="10" defaultColWidth="11.42578125" defaultRowHeight="15.75" x14ac:dyDescent="0.25"/>
  <cols>
    <col min="1" max="1" width="4.5703125" style="27" customWidth="1"/>
    <col min="2" max="19" width="9.5703125" style="27" customWidth="1"/>
    <col min="20" max="20" width="2.85546875" style="27" customWidth="1"/>
    <col min="21" max="26" width="9.5703125" style="27" customWidth="1"/>
    <col min="27" max="34" width="11.42578125" style="27"/>
    <col min="35" max="35" width="11.28515625" style="27" customWidth="1"/>
    <col min="36" max="39" width="11.42578125" style="27"/>
    <col min="40" max="40" width="11.28515625" style="27" customWidth="1"/>
    <col min="41" max="42" width="11.42578125" style="27"/>
    <col min="43" max="43" width="11.42578125" style="27" customWidth="1"/>
    <col min="44" max="16384" width="11.42578125" style="27"/>
  </cols>
  <sheetData>
    <row r="1" spans="2:41" ht="15" customHeight="1" x14ac:dyDescent="0.25"/>
    <row r="2" spans="2:41" ht="15" customHeight="1" x14ac:dyDescent="0.25">
      <c r="B2" s="71" t="s">
        <v>32</v>
      </c>
      <c r="C2" s="72"/>
      <c r="D2" s="73"/>
      <c r="F2" s="55" t="s">
        <v>33</v>
      </c>
      <c r="G2" s="28" t="s">
        <v>18</v>
      </c>
      <c r="H2" s="28" t="s">
        <v>19</v>
      </c>
      <c r="I2" s="29" t="s">
        <v>20</v>
      </c>
      <c r="K2" s="55" t="s">
        <v>34</v>
      </c>
      <c r="L2" s="28" t="s">
        <v>35</v>
      </c>
      <c r="M2" s="28" t="s">
        <v>36</v>
      </c>
      <c r="N2" s="29" t="s">
        <v>37</v>
      </c>
      <c r="P2" s="50" t="str">
        <f>C19</f>
        <v>I001</v>
      </c>
      <c r="Q2" s="49" t="str">
        <f>E19</f>
        <v>I002</v>
      </c>
      <c r="R2" s="49" t="str">
        <f>G19</f>
        <v>I003</v>
      </c>
      <c r="S2" s="68" t="s">
        <v>57</v>
      </c>
      <c r="T2" s="67" t="s">
        <v>59</v>
      </c>
    </row>
    <row r="3" spans="2:41" ht="15" customHeight="1" x14ac:dyDescent="0.25">
      <c r="B3" s="74" t="s">
        <v>30</v>
      </c>
      <c r="C3" s="75"/>
      <c r="D3" s="76"/>
      <c r="F3" s="56"/>
      <c r="G3" s="31" t="s">
        <v>13</v>
      </c>
      <c r="H3" s="31" t="s">
        <v>13</v>
      </c>
      <c r="I3" s="32" t="s">
        <v>13</v>
      </c>
      <c r="K3" s="56"/>
      <c r="L3" s="33" t="s">
        <v>10</v>
      </c>
      <c r="M3" s="31" t="s">
        <v>13</v>
      </c>
      <c r="N3" s="34">
        <v>0</v>
      </c>
      <c r="P3" s="51" t="str">
        <f>C20</f>
        <v>-</v>
      </c>
      <c r="Q3" s="27" t="str">
        <f>E20</f>
        <v>-</v>
      </c>
      <c r="R3" s="27" t="str">
        <f>G20</f>
        <v>-</v>
      </c>
      <c r="S3" s="69"/>
      <c r="T3" s="67"/>
    </row>
    <row r="4" spans="2:41" ht="15" customHeight="1" x14ac:dyDescent="0.25">
      <c r="B4" s="77"/>
      <c r="C4" s="78"/>
      <c r="D4" s="79"/>
      <c r="F4" s="56"/>
      <c r="G4" s="31" t="s">
        <v>13</v>
      </c>
      <c r="H4" s="31" t="s">
        <v>13</v>
      </c>
      <c r="I4" s="32" t="s">
        <v>13</v>
      </c>
      <c r="K4" s="56"/>
      <c r="L4" s="33" t="s">
        <v>10</v>
      </c>
      <c r="M4" s="31" t="s">
        <v>13</v>
      </c>
      <c r="N4" s="34">
        <v>0</v>
      </c>
      <c r="P4" s="51" t="str">
        <f>C21</f>
        <v>-</v>
      </c>
      <c r="Q4" s="27" t="str">
        <f>E21</f>
        <v>-</v>
      </c>
      <c r="R4" s="27" t="str">
        <f>G21</f>
        <v>-</v>
      </c>
      <c r="S4" s="69"/>
      <c r="T4" s="67"/>
    </row>
    <row r="5" spans="2:41" ht="15" customHeight="1" x14ac:dyDescent="0.25">
      <c r="B5" s="77"/>
      <c r="C5" s="78"/>
      <c r="D5" s="79"/>
      <c r="F5" s="56"/>
      <c r="G5" s="31" t="s">
        <v>13</v>
      </c>
      <c r="H5" s="31" t="s">
        <v>13</v>
      </c>
      <c r="I5" s="32" t="s">
        <v>13</v>
      </c>
      <c r="K5" s="56"/>
      <c r="L5" s="33" t="s">
        <v>10</v>
      </c>
      <c r="M5" s="31" t="s">
        <v>13</v>
      </c>
      <c r="N5" s="34">
        <v>0</v>
      </c>
      <c r="P5" s="51" t="str">
        <f>IFERROR(ROUND(C22/5,1)*5,"NO DATA")</f>
        <v>NO DATA</v>
      </c>
      <c r="Q5" s="27" t="str">
        <f>IFERROR(ROUND(E22/5,1)*5,"NO DATA")</f>
        <v>NO DATA</v>
      </c>
      <c r="R5" s="27" t="str">
        <f>IFERROR(ROUND(G22/5,1)*5,"NO DATA")</f>
        <v>NO DATA</v>
      </c>
      <c r="S5" s="69"/>
      <c r="T5" s="67"/>
    </row>
    <row r="6" spans="2:41" ht="15" customHeight="1" x14ac:dyDescent="0.25">
      <c r="B6" s="80"/>
      <c r="C6" s="81"/>
      <c r="D6" s="82"/>
      <c r="F6" s="56"/>
      <c r="G6" s="31" t="s">
        <v>13</v>
      </c>
      <c r="H6" s="31" t="s">
        <v>13</v>
      </c>
      <c r="I6" s="32" t="s">
        <v>13</v>
      </c>
      <c r="K6" s="56"/>
      <c r="L6" s="33" t="s">
        <v>10</v>
      </c>
      <c r="M6" s="31" t="s">
        <v>13</v>
      </c>
      <c r="N6" s="34">
        <v>0</v>
      </c>
      <c r="P6" s="52" t="str">
        <f>I19</f>
        <v>I004</v>
      </c>
      <c r="Q6" s="48" t="str">
        <f>C23</f>
        <v>I005</v>
      </c>
      <c r="R6" s="48" t="str">
        <f>E23</f>
        <v>I006</v>
      </c>
      <c r="S6" s="69"/>
      <c r="T6" s="67"/>
    </row>
    <row r="7" spans="2:41" ht="15" customHeight="1" x14ac:dyDescent="0.25">
      <c r="B7" s="74" t="s">
        <v>31</v>
      </c>
      <c r="C7" s="75"/>
      <c r="D7" s="76"/>
      <c r="F7" s="56"/>
      <c r="G7" s="31" t="s">
        <v>13</v>
      </c>
      <c r="H7" s="31" t="s">
        <v>13</v>
      </c>
      <c r="I7" s="32" t="s">
        <v>13</v>
      </c>
      <c r="K7" s="56"/>
      <c r="L7" s="33" t="s">
        <v>10</v>
      </c>
      <c r="M7" s="31" t="s">
        <v>13</v>
      </c>
      <c r="N7" s="34">
        <v>0</v>
      </c>
      <c r="P7" s="51" t="str">
        <f>I20</f>
        <v>-</v>
      </c>
      <c r="Q7" s="27" t="str">
        <f>C24</f>
        <v>-</v>
      </c>
      <c r="R7" s="27" t="str">
        <f>E24</f>
        <v>-</v>
      </c>
      <c r="S7" s="69"/>
      <c r="T7" s="67"/>
    </row>
    <row r="8" spans="2:41" ht="15" customHeight="1" x14ac:dyDescent="0.25">
      <c r="B8" s="77"/>
      <c r="C8" s="78"/>
      <c r="D8" s="79"/>
      <c r="F8" s="56"/>
      <c r="G8" s="31" t="s">
        <v>13</v>
      </c>
      <c r="H8" s="31" t="s">
        <v>13</v>
      </c>
      <c r="I8" s="32" t="s">
        <v>13</v>
      </c>
      <c r="K8" s="56"/>
      <c r="L8" s="33" t="s">
        <v>10</v>
      </c>
      <c r="M8" s="31" t="s">
        <v>13</v>
      </c>
      <c r="N8" s="34">
        <v>0</v>
      </c>
      <c r="P8" s="51" t="str">
        <f>I21</f>
        <v>-</v>
      </c>
      <c r="Q8" s="27" t="str">
        <f>C25</f>
        <v>-</v>
      </c>
      <c r="R8" s="27" t="str">
        <f>E25</f>
        <v>-</v>
      </c>
      <c r="S8" s="69"/>
      <c r="T8" s="67"/>
    </row>
    <row r="9" spans="2:41" ht="15" customHeight="1" x14ac:dyDescent="0.25">
      <c r="B9" s="80"/>
      <c r="C9" s="81"/>
      <c r="D9" s="82"/>
      <c r="F9" s="56"/>
      <c r="G9" s="31" t="s">
        <v>13</v>
      </c>
      <c r="H9" s="31" t="s">
        <v>13</v>
      </c>
      <c r="I9" s="32" t="s">
        <v>13</v>
      </c>
      <c r="K9" s="56"/>
      <c r="L9" s="33" t="s">
        <v>10</v>
      </c>
      <c r="M9" s="31" t="s">
        <v>13</v>
      </c>
      <c r="N9" s="34">
        <v>0</v>
      </c>
      <c r="P9" s="51" t="str">
        <f>IFERROR(ROUND(I22/5,1)*5,"NO DATA")</f>
        <v>NO DATA</v>
      </c>
      <c r="Q9" s="27" t="str">
        <f>IFERROR(ROUND(C26/5,1)*5,"NO DATA")</f>
        <v>NO DATA</v>
      </c>
      <c r="R9" s="27" t="str">
        <f>IFERROR(ROUND(E26/5,1)*5,"NO DATA")</f>
        <v>NO DATA</v>
      </c>
      <c r="S9" s="69"/>
      <c r="T9" s="67"/>
    </row>
    <row r="10" spans="2:41" ht="15" customHeight="1" x14ac:dyDescent="0.25">
      <c r="B10" s="74" t="s">
        <v>58</v>
      </c>
      <c r="C10" s="75"/>
      <c r="D10" s="76"/>
      <c r="F10" s="56"/>
      <c r="G10" s="31" t="s">
        <v>13</v>
      </c>
      <c r="H10" s="31" t="s">
        <v>13</v>
      </c>
      <c r="I10" s="32" t="s">
        <v>13</v>
      </c>
      <c r="K10" s="56"/>
      <c r="L10" s="33" t="s">
        <v>10</v>
      </c>
      <c r="M10" s="31" t="s">
        <v>13</v>
      </c>
      <c r="N10" s="34">
        <v>0</v>
      </c>
      <c r="P10" s="52" t="str">
        <f>G23</f>
        <v>I007</v>
      </c>
      <c r="Q10" s="48" t="str">
        <f>C27</f>
        <v>I008</v>
      </c>
      <c r="R10" s="48" t="str">
        <f>E27</f>
        <v>I009</v>
      </c>
      <c r="S10" s="69"/>
      <c r="T10" s="67"/>
    </row>
    <row r="11" spans="2:41" ht="15" customHeight="1" x14ac:dyDescent="0.25">
      <c r="B11" s="77"/>
      <c r="C11" s="78"/>
      <c r="D11" s="79"/>
      <c r="F11" s="56"/>
      <c r="G11" s="31" t="s">
        <v>13</v>
      </c>
      <c r="H11" s="31" t="s">
        <v>13</v>
      </c>
      <c r="I11" s="32" t="s">
        <v>13</v>
      </c>
      <c r="K11" s="56"/>
      <c r="L11" s="33" t="s">
        <v>10</v>
      </c>
      <c r="M11" s="31" t="s">
        <v>13</v>
      </c>
      <c r="N11" s="34">
        <v>0</v>
      </c>
      <c r="P11" s="51" t="str">
        <f>G24</f>
        <v>-</v>
      </c>
      <c r="Q11" s="27" t="str">
        <f>C28</f>
        <v>-</v>
      </c>
      <c r="R11" s="27" t="str">
        <f>E28</f>
        <v>-</v>
      </c>
      <c r="S11" s="69"/>
      <c r="T11" s="67"/>
    </row>
    <row r="12" spans="2:41" ht="15" customHeight="1" x14ac:dyDescent="0.25">
      <c r="B12" s="77"/>
      <c r="C12" s="78"/>
      <c r="D12" s="79"/>
      <c r="F12" s="56"/>
      <c r="G12" s="31" t="s">
        <v>13</v>
      </c>
      <c r="H12" s="31" t="s">
        <v>13</v>
      </c>
      <c r="I12" s="32" t="s">
        <v>13</v>
      </c>
      <c r="K12" s="56"/>
      <c r="L12" s="33" t="s">
        <v>10</v>
      </c>
      <c r="M12" s="31" t="s">
        <v>13</v>
      </c>
      <c r="N12" s="34">
        <v>0</v>
      </c>
      <c r="P12" s="51" t="str">
        <f>G25</f>
        <v>-</v>
      </c>
      <c r="Q12" s="27" t="str">
        <f>C29</f>
        <v>-</v>
      </c>
      <c r="R12" s="27" t="str">
        <f>E29</f>
        <v>-</v>
      </c>
      <c r="S12" s="69"/>
      <c r="T12" s="67"/>
    </row>
    <row r="13" spans="2:41" ht="15" customHeight="1" x14ac:dyDescent="0.25">
      <c r="B13" s="77"/>
      <c r="C13" s="78"/>
      <c r="D13" s="79"/>
      <c r="F13" s="56"/>
      <c r="G13" s="31" t="s">
        <v>13</v>
      </c>
      <c r="H13" s="31" t="s">
        <v>13</v>
      </c>
      <c r="I13" s="32" t="s">
        <v>13</v>
      </c>
      <c r="K13" s="56"/>
      <c r="L13" s="33" t="s">
        <v>10</v>
      </c>
      <c r="M13" s="31" t="s">
        <v>13</v>
      </c>
      <c r="N13" s="34">
        <v>0</v>
      </c>
      <c r="P13" s="51" t="str">
        <f>IFERROR(ROUND(G26/5,1)*5,"NO DATA")</f>
        <v>NO DATA</v>
      </c>
      <c r="Q13" s="27" t="str">
        <f>IFERROR(ROUND(C30/5,1)*5,"NO DATA")</f>
        <v>NO DATA</v>
      </c>
      <c r="R13" s="27" t="str">
        <f>IFERROR(ROUND(E30/5,1)*5,"NO DATA")</f>
        <v>NO DATA</v>
      </c>
      <c r="S13" s="70"/>
      <c r="T13" s="67"/>
    </row>
    <row r="14" spans="2:41" ht="15" customHeight="1" x14ac:dyDescent="0.25">
      <c r="B14" s="80"/>
      <c r="C14" s="81"/>
      <c r="D14" s="82"/>
      <c r="F14" s="57"/>
      <c r="G14" s="35" t="str">
        <f>IFERROR((AVERAGE(G3:G13)),"NO DATA")</f>
        <v>NO DATA</v>
      </c>
      <c r="H14" s="35" t="str">
        <f>IFERROR((AVERAGE(H3:H13)),"NO DATA")</f>
        <v>NO DATA</v>
      </c>
      <c r="I14" s="41" t="str">
        <f>IFERROR((AVERAGE(I3:I13)),"NO DATA")</f>
        <v>NO DATA</v>
      </c>
      <c r="K14" s="57"/>
      <c r="L14" s="36" t="s">
        <v>10</v>
      </c>
      <c r="M14" s="37" t="s">
        <v>13</v>
      </c>
      <c r="N14" s="38">
        <v>0</v>
      </c>
      <c r="P14" s="52" t="str">
        <f>G27</f>
        <v>I010</v>
      </c>
      <c r="Q14" s="48" t="str">
        <f>C31</f>
        <v>I011</v>
      </c>
      <c r="R14" s="48" t="str">
        <f>E31</f>
        <v>I012</v>
      </c>
      <c r="S14" s="53" t="str">
        <f>G31</f>
        <v>I013</v>
      </c>
      <c r="T14" s="67"/>
    </row>
    <row r="15" spans="2:41" ht="15" customHeight="1" x14ac:dyDescent="0.25">
      <c r="P15" s="51" t="str">
        <f>G28</f>
        <v>-</v>
      </c>
      <c r="Q15" s="27" t="str">
        <f>C32</f>
        <v>-</v>
      </c>
      <c r="R15" s="27" t="str">
        <f>E32</f>
        <v>-</v>
      </c>
      <c r="S15" s="40" t="str">
        <f>G32</f>
        <v>-</v>
      </c>
      <c r="T15" s="67"/>
      <c r="AO15" s="30"/>
    </row>
    <row r="16" spans="2:41" ht="15" customHeight="1" x14ac:dyDescent="0.25">
      <c r="B16" s="62" t="s">
        <v>38</v>
      </c>
      <c r="C16" s="58"/>
      <c r="D16" s="58" t="s">
        <v>18</v>
      </c>
      <c r="E16" s="58"/>
      <c r="F16" s="58" t="s">
        <v>39</v>
      </c>
      <c r="G16" s="58"/>
      <c r="H16" s="58" t="s">
        <v>23</v>
      </c>
      <c r="I16" s="58"/>
      <c r="J16" s="58" t="s">
        <v>24</v>
      </c>
      <c r="K16" s="59"/>
      <c r="P16" s="51" t="str">
        <f>G29</f>
        <v>-</v>
      </c>
      <c r="Q16" s="27" t="str">
        <f>C33</f>
        <v>-</v>
      </c>
      <c r="R16" s="27" t="str">
        <f>E33</f>
        <v>-</v>
      </c>
      <c r="S16" s="40" t="str">
        <f>G33</f>
        <v>-</v>
      </c>
      <c r="T16" s="67"/>
    </row>
    <row r="17" spans="2:20" ht="15" customHeight="1" x14ac:dyDescent="0.25">
      <c r="B17" s="63" t="str">
        <f>IFERROR(AVERAGE(H3:I13),"NO DATA")</f>
        <v>NO DATA</v>
      </c>
      <c r="C17" s="60"/>
      <c r="D17" s="60" t="str">
        <f>IFERROR(AVERAGE(G3:G13),"NO DATA")</f>
        <v>NO DATA</v>
      </c>
      <c r="E17" s="60"/>
      <c r="F17" s="60" t="str" cm="1">
        <f t="array" ref="F17">IFERROR(((SUMPRODUCT(((M3:M14="A") + (M3:M14="LA")) * N3:N14) / SUM(N3:N14)) * 100),"NO DATA")</f>
        <v>NO DATA</v>
      </c>
      <c r="G17" s="60"/>
      <c r="H17" s="60" t="str">
        <f>IFERROR(AVERAGE(T5:AC5),"NO DATA")</f>
        <v>NO DATA</v>
      </c>
      <c r="I17" s="60"/>
      <c r="J17" s="60" t="str">
        <f>IFERROR(SUM((D17*10/100)+(B17*20/100)+(H17*30/100))/60*100,"NO DATA")</f>
        <v>NO DATA</v>
      </c>
      <c r="K17" s="61"/>
      <c r="P17" s="54" t="str">
        <f>IFERROR(ROUND(G30/5,1)*5,"NO DATA")</f>
        <v>NO DATA</v>
      </c>
      <c r="Q17" s="35" t="str">
        <f>IFERROR(ROUND(C34/5,1)*5,"NO DATA")</f>
        <v>NO DATA</v>
      </c>
      <c r="R17" s="35" t="str">
        <f>IFERROR(ROUND(E34/5,1)*5,"NO DATA")</f>
        <v>NO DATA</v>
      </c>
      <c r="S17" s="41" t="str">
        <f>IFERROR(ROUND(G34/5,1)*5,"NO DATA")</f>
        <v>NO DATA</v>
      </c>
      <c r="T17" s="67"/>
    </row>
    <row r="18" spans="2:20" ht="15" customHeight="1" x14ac:dyDescent="0.25"/>
    <row r="19" spans="2:20" ht="15" customHeight="1" x14ac:dyDescent="0.25">
      <c r="B19" s="64" t="s">
        <v>40</v>
      </c>
      <c r="C19" s="42" t="s">
        <v>44</v>
      </c>
      <c r="D19" s="44" t="s">
        <v>22</v>
      </c>
      <c r="E19" s="42" t="s">
        <v>45</v>
      </c>
      <c r="F19" s="44" t="s">
        <v>22</v>
      </c>
      <c r="G19" s="42" t="s">
        <v>46</v>
      </c>
      <c r="H19" s="44" t="s">
        <v>22</v>
      </c>
      <c r="I19" s="42" t="s">
        <v>47</v>
      </c>
      <c r="J19" s="44" t="s">
        <v>22</v>
      </c>
    </row>
    <row r="20" spans="2:20" ht="15" customHeight="1" x14ac:dyDescent="0.25">
      <c r="B20" s="65"/>
      <c r="C20" s="43" t="s">
        <v>13</v>
      </c>
      <c r="D20" s="45">
        <v>0</v>
      </c>
      <c r="E20" s="43" t="s">
        <v>13</v>
      </c>
      <c r="F20" s="45">
        <v>0</v>
      </c>
      <c r="G20" s="43" t="s">
        <v>13</v>
      </c>
      <c r="H20" s="45">
        <v>0</v>
      </c>
      <c r="I20" s="31" t="s">
        <v>13</v>
      </c>
      <c r="J20" s="45">
        <v>0</v>
      </c>
    </row>
    <row r="21" spans="2:20" ht="15" customHeight="1" x14ac:dyDescent="0.25">
      <c r="B21" s="65"/>
      <c r="C21" s="43" t="s">
        <v>13</v>
      </c>
      <c r="D21" s="45">
        <v>0</v>
      </c>
      <c r="E21" s="43" t="s">
        <v>13</v>
      </c>
      <c r="F21" s="45">
        <v>0</v>
      </c>
      <c r="G21" s="43" t="s">
        <v>13</v>
      </c>
      <c r="H21" s="45">
        <v>0</v>
      </c>
      <c r="I21" s="31" t="s">
        <v>13</v>
      </c>
      <c r="J21" s="45">
        <v>0</v>
      </c>
    </row>
    <row r="22" spans="2:20" ht="15" customHeight="1" x14ac:dyDescent="0.25">
      <c r="B22" s="66"/>
      <c r="C22" s="63" t="str">
        <f>IFERROR((C20*D20+C21*D21),"NO DATA")</f>
        <v>NO DATA</v>
      </c>
      <c r="D22" s="61"/>
      <c r="E22" s="63" t="str">
        <f>IFERROR((E20*F20+E21*F21),"NO DATA")</f>
        <v>NO DATA</v>
      </c>
      <c r="F22" s="61"/>
      <c r="G22" s="63" t="str">
        <f>IFERROR((G20*H20+G21*H21),"NO DATA")</f>
        <v>NO DATA</v>
      </c>
      <c r="H22" s="61"/>
      <c r="I22" s="63" t="str">
        <f>IFERROR((I20*J20+I21*J21),"NO DATA")</f>
        <v>NO DATA</v>
      </c>
      <c r="J22" s="61"/>
    </row>
    <row r="23" spans="2:20" ht="15" customHeight="1" x14ac:dyDescent="0.25">
      <c r="B23" s="64" t="s">
        <v>41</v>
      </c>
      <c r="C23" s="42" t="s">
        <v>48</v>
      </c>
      <c r="D23" s="44" t="s">
        <v>22</v>
      </c>
      <c r="E23" s="42" t="s">
        <v>49</v>
      </c>
      <c r="F23" s="44" t="s">
        <v>22</v>
      </c>
      <c r="G23" s="42" t="s">
        <v>50</v>
      </c>
      <c r="H23" s="44" t="s">
        <v>22</v>
      </c>
      <c r="I23" s="31"/>
      <c r="J23" s="31"/>
    </row>
    <row r="24" spans="2:20" ht="15" customHeight="1" x14ac:dyDescent="0.25">
      <c r="B24" s="65"/>
      <c r="C24" s="43" t="s">
        <v>13</v>
      </c>
      <c r="D24" s="45">
        <v>0</v>
      </c>
      <c r="E24" s="43" t="s">
        <v>13</v>
      </c>
      <c r="F24" s="45">
        <v>0</v>
      </c>
      <c r="G24" s="31" t="s">
        <v>13</v>
      </c>
      <c r="H24" s="45">
        <v>0</v>
      </c>
      <c r="I24" s="31"/>
      <c r="J24" s="31"/>
    </row>
    <row r="25" spans="2:20" ht="15" customHeight="1" x14ac:dyDescent="0.25">
      <c r="B25" s="65"/>
      <c r="C25" s="43" t="s">
        <v>13</v>
      </c>
      <c r="D25" s="45">
        <v>0</v>
      </c>
      <c r="E25" s="43" t="s">
        <v>13</v>
      </c>
      <c r="F25" s="45">
        <v>0</v>
      </c>
      <c r="G25" s="31" t="s">
        <v>13</v>
      </c>
      <c r="H25" s="45">
        <v>0</v>
      </c>
      <c r="I25" s="31"/>
    </row>
    <row r="26" spans="2:20" ht="15" customHeight="1" x14ac:dyDescent="0.25">
      <c r="B26" s="66"/>
      <c r="C26" s="63" t="str">
        <f>IFERROR((C24*D24+C25*D25),"NO DATA")</f>
        <v>NO DATA</v>
      </c>
      <c r="D26" s="61"/>
      <c r="E26" s="63" t="str">
        <f>IFERROR((E24*F24+E25*F25),"NO DATA")</f>
        <v>NO DATA</v>
      </c>
      <c r="F26" s="61"/>
      <c r="G26" s="63" t="str">
        <f>IFERROR((G24*H24+G25*H25),"NO DATA")</f>
        <v>NO DATA</v>
      </c>
      <c r="H26" s="61"/>
      <c r="I26" s="31"/>
    </row>
    <row r="27" spans="2:20" ht="15" customHeight="1" x14ac:dyDescent="0.25">
      <c r="B27" s="64" t="s">
        <v>42</v>
      </c>
      <c r="C27" s="42" t="s">
        <v>51</v>
      </c>
      <c r="D27" s="44" t="s">
        <v>22</v>
      </c>
      <c r="E27" s="42" t="s">
        <v>52</v>
      </c>
      <c r="F27" s="44" t="s">
        <v>22</v>
      </c>
      <c r="G27" s="42" t="s">
        <v>53</v>
      </c>
      <c r="H27" s="44" t="s">
        <v>22</v>
      </c>
      <c r="I27" s="31"/>
    </row>
    <row r="28" spans="2:20" ht="15" customHeight="1" x14ac:dyDescent="0.25">
      <c r="B28" s="65"/>
      <c r="C28" s="43" t="s">
        <v>13</v>
      </c>
      <c r="D28" s="45">
        <v>0</v>
      </c>
      <c r="E28" s="43" t="s">
        <v>13</v>
      </c>
      <c r="F28" s="45">
        <v>0</v>
      </c>
      <c r="G28" s="31" t="s">
        <v>13</v>
      </c>
      <c r="H28" s="45">
        <v>0</v>
      </c>
      <c r="I28" s="31"/>
    </row>
    <row r="29" spans="2:20" ht="15" customHeight="1" x14ac:dyDescent="0.25">
      <c r="B29" s="65"/>
      <c r="C29" s="43" t="s">
        <v>13</v>
      </c>
      <c r="D29" s="45">
        <v>0</v>
      </c>
      <c r="E29" s="43" t="s">
        <v>13</v>
      </c>
      <c r="F29" s="45">
        <v>0</v>
      </c>
      <c r="G29" s="31" t="s">
        <v>13</v>
      </c>
      <c r="H29" s="45">
        <v>0</v>
      </c>
      <c r="I29" s="31"/>
      <c r="J29" s="31"/>
    </row>
    <row r="30" spans="2:20" ht="15" customHeight="1" x14ac:dyDescent="0.25">
      <c r="B30" s="66"/>
      <c r="C30" s="63" t="str">
        <f>IFERROR((C28*D28+C29*D29),"NO DATA")</f>
        <v>NO DATA</v>
      </c>
      <c r="D30" s="61"/>
      <c r="E30" s="63" t="str">
        <f>IFERROR((E28*F28+E29*F29),"NO DATA")</f>
        <v>NO DATA</v>
      </c>
      <c r="F30" s="61"/>
      <c r="G30" s="63" t="str">
        <f>IFERROR((G28*H28+G29*H29),"NO DATA")</f>
        <v>NO DATA</v>
      </c>
      <c r="H30" s="61"/>
      <c r="I30" s="31"/>
      <c r="J30" s="31"/>
    </row>
    <row r="31" spans="2:20" ht="15" customHeight="1" x14ac:dyDescent="0.25">
      <c r="B31" s="64" t="s">
        <v>43</v>
      </c>
      <c r="C31" s="42" t="s">
        <v>54</v>
      </c>
      <c r="D31" s="44" t="s">
        <v>22</v>
      </c>
      <c r="E31" s="42" t="s">
        <v>55</v>
      </c>
      <c r="F31" s="46" t="s">
        <v>22</v>
      </c>
      <c r="G31" s="42" t="s">
        <v>56</v>
      </c>
      <c r="H31" s="44" t="s">
        <v>22</v>
      </c>
      <c r="I31" s="31"/>
      <c r="J31" s="31"/>
    </row>
    <row r="32" spans="2:20" ht="15" customHeight="1" x14ac:dyDescent="0.25">
      <c r="B32" s="65"/>
      <c r="C32" s="43" t="s">
        <v>13</v>
      </c>
      <c r="D32" s="45">
        <v>0</v>
      </c>
      <c r="E32" s="31" t="s">
        <v>13</v>
      </c>
      <c r="F32" s="47">
        <v>0</v>
      </c>
      <c r="G32" s="43" t="s">
        <v>13</v>
      </c>
      <c r="H32" s="45">
        <v>0</v>
      </c>
      <c r="I32" s="31"/>
      <c r="J32" s="31"/>
    </row>
    <row r="33" spans="2:57" ht="15" customHeight="1" x14ac:dyDescent="0.25">
      <c r="B33" s="65"/>
      <c r="C33" s="43" t="s">
        <v>13</v>
      </c>
      <c r="D33" s="45">
        <v>0</v>
      </c>
      <c r="E33" s="31" t="s">
        <v>13</v>
      </c>
      <c r="F33" s="47">
        <v>0</v>
      </c>
      <c r="G33" s="43" t="s">
        <v>13</v>
      </c>
      <c r="H33" s="45">
        <v>0</v>
      </c>
      <c r="I33" s="31"/>
      <c r="J33" s="31"/>
    </row>
    <row r="34" spans="2:57" ht="15" customHeight="1" x14ac:dyDescent="0.25">
      <c r="B34" s="66"/>
      <c r="C34" s="63" t="str">
        <f>IFERROR((C32*D32+C33*D33),"NO DATA")</f>
        <v>NO DATA</v>
      </c>
      <c r="D34" s="61"/>
      <c r="E34" s="63" t="str">
        <f>IFERROR((E32*F32+E33*F33),"NO DATA")</f>
        <v>NO DATA</v>
      </c>
      <c r="F34" s="61"/>
      <c r="G34" s="63" t="str">
        <f>IFERROR((G32*H32+G33*H33),"NO DATA")</f>
        <v>NO DATA</v>
      </c>
      <c r="H34" s="61"/>
      <c r="I34" s="31"/>
      <c r="J34" s="31"/>
    </row>
    <row r="35" spans="2:57" ht="15" customHeight="1" x14ac:dyDescent="0.25"/>
    <row r="36" spans="2:57" ht="15" customHeight="1" x14ac:dyDescent="0.25"/>
    <row r="37" spans="2:57" ht="15" customHeight="1" x14ac:dyDescent="0.25"/>
    <row r="38" spans="2:57" ht="15" customHeight="1" x14ac:dyDescent="0.25"/>
    <row r="39" spans="2:57" ht="15" customHeight="1" x14ac:dyDescent="0.25"/>
    <row r="40" spans="2:57" ht="15" customHeight="1" x14ac:dyDescent="0.25"/>
    <row r="41" spans="2:57" ht="15" customHeight="1" x14ac:dyDescent="0.25"/>
    <row r="42" spans="2:57" ht="15" customHeight="1" x14ac:dyDescent="0.25"/>
    <row r="43" spans="2:57" ht="15" customHeight="1" x14ac:dyDescent="0.25">
      <c r="BB43" s="27" t="s">
        <v>27</v>
      </c>
    </row>
    <row r="44" spans="2:57" ht="15" customHeight="1" x14ac:dyDescent="0.25">
      <c r="BB44" s="39" t="s">
        <v>28</v>
      </c>
      <c r="BC44" s="39" t="s">
        <v>29</v>
      </c>
      <c r="BD44" s="39" t="s">
        <v>26</v>
      </c>
      <c r="BE44" s="39" t="s">
        <v>25</v>
      </c>
    </row>
    <row r="45" spans="2:57" ht="15" customHeight="1" x14ac:dyDescent="0.25"/>
    <row r="46" spans="2:57" ht="15" customHeight="1" x14ac:dyDescent="0.25"/>
    <row r="47" spans="2:57" ht="15" customHeight="1" x14ac:dyDescent="0.25"/>
    <row r="48" spans="2:57" ht="15" customHeight="1" x14ac:dyDescent="0.25"/>
    <row r="49" ht="15" customHeight="1" x14ac:dyDescent="0.25"/>
  </sheetData>
  <mergeCells count="35">
    <mergeCell ref="B31:B34"/>
    <mergeCell ref="B23:B26"/>
    <mergeCell ref="B27:B30"/>
    <mergeCell ref="B19:B22"/>
    <mergeCell ref="T2:T17"/>
    <mergeCell ref="S2:S13"/>
    <mergeCell ref="B2:D2"/>
    <mergeCell ref="B3:D6"/>
    <mergeCell ref="B7:D9"/>
    <mergeCell ref="B10:D14"/>
    <mergeCell ref="G34:H34"/>
    <mergeCell ref="E34:F34"/>
    <mergeCell ref="C34:D34"/>
    <mergeCell ref="C30:D30"/>
    <mergeCell ref="E30:F30"/>
    <mergeCell ref="G30:H30"/>
    <mergeCell ref="C22:D22"/>
    <mergeCell ref="E22:F22"/>
    <mergeCell ref="G22:H22"/>
    <mergeCell ref="I22:J22"/>
    <mergeCell ref="C26:D26"/>
    <mergeCell ref="E26:F26"/>
    <mergeCell ref="G26:H26"/>
    <mergeCell ref="F2:F14"/>
    <mergeCell ref="K2:K14"/>
    <mergeCell ref="J16:K16"/>
    <mergeCell ref="J17:K17"/>
    <mergeCell ref="B16:C16"/>
    <mergeCell ref="D16:E16"/>
    <mergeCell ref="F16:G16"/>
    <mergeCell ref="H16:I16"/>
    <mergeCell ref="B17:C17"/>
    <mergeCell ref="D17:E17"/>
    <mergeCell ref="F17:G17"/>
    <mergeCell ref="H17:I17"/>
  </mergeCells>
  <phoneticPr fontId="3" type="noConversion"/>
  <conditionalFormatting sqref="C22 G14:I14 E22 G22 I22 P5:R5 P9:R9 P13:R13 P17:S17">
    <cfRule type="cellIs" dxfId="75" priority="105" stopIfTrue="1" operator="equal">
      <formula>4</formula>
    </cfRule>
    <cfRule type="cellIs" dxfId="74" priority="106" stopIfTrue="1" operator="lessThan">
      <formula>4</formula>
    </cfRule>
    <cfRule type="cellIs" dxfId="73" priority="107" stopIfTrue="1" operator="greaterThan">
      <formula>4</formula>
    </cfRule>
  </conditionalFormatting>
  <conditionalFormatting sqref="AQ15 M3:M14">
    <cfRule type="cellIs" dxfId="72" priority="101" operator="equal">
      <formula>"LA"</formula>
    </cfRule>
    <cfRule type="cellIs" dxfId="71" priority="102" operator="equal">
      <formula>"A"</formula>
    </cfRule>
    <cfRule type="cellIs" dxfId="70" priority="103" operator="equal">
      <formula>"NA"</formula>
    </cfRule>
    <cfRule type="cellIs" dxfId="69" priority="104" operator="equal">
      <formula>"PA"</formula>
    </cfRule>
  </conditionalFormatting>
  <conditionalFormatting sqref="B17:E17 H17:K17">
    <cfRule type="cellIs" dxfId="68" priority="34" operator="lessThan">
      <formula>4</formula>
    </cfRule>
    <cfRule type="cellIs" dxfId="67" priority="37" operator="greaterThan">
      <formula>4</formula>
    </cfRule>
  </conditionalFormatting>
  <conditionalFormatting sqref="F17:G17">
    <cfRule type="cellIs" dxfId="66" priority="35" operator="lessThan">
      <formula>80</formula>
    </cfRule>
    <cfRule type="cellIs" dxfId="65" priority="36" operator="greaterThan">
      <formula>80</formula>
    </cfRule>
  </conditionalFormatting>
  <conditionalFormatting sqref="C26">
    <cfRule type="cellIs" dxfId="64" priority="25" stopIfTrue="1" operator="equal">
      <formula>4</formula>
    </cfRule>
    <cfRule type="cellIs" dxfId="63" priority="26" stopIfTrue="1" operator="lessThan">
      <formula>4</formula>
    </cfRule>
    <cfRule type="cellIs" dxfId="62" priority="27" stopIfTrue="1" operator="greaterThan">
      <formula>4</formula>
    </cfRule>
  </conditionalFormatting>
  <conditionalFormatting sqref="E26">
    <cfRule type="cellIs" dxfId="61" priority="22" stopIfTrue="1" operator="equal">
      <formula>4</formula>
    </cfRule>
    <cfRule type="cellIs" dxfId="60" priority="23" stopIfTrue="1" operator="lessThan">
      <formula>4</formula>
    </cfRule>
    <cfRule type="cellIs" dxfId="59" priority="24" stopIfTrue="1" operator="greaterThan">
      <formula>4</formula>
    </cfRule>
  </conditionalFormatting>
  <conditionalFormatting sqref="G26">
    <cfRule type="cellIs" dxfId="58" priority="19" stopIfTrue="1" operator="equal">
      <formula>4</formula>
    </cfRule>
    <cfRule type="cellIs" dxfId="57" priority="20" stopIfTrue="1" operator="lessThan">
      <formula>4</formula>
    </cfRule>
    <cfRule type="cellIs" dxfId="56" priority="21" stopIfTrue="1" operator="greaterThan">
      <formula>4</formula>
    </cfRule>
  </conditionalFormatting>
  <conditionalFormatting sqref="C30">
    <cfRule type="cellIs" dxfId="55" priority="16" stopIfTrue="1" operator="equal">
      <formula>4</formula>
    </cfRule>
    <cfRule type="cellIs" dxfId="54" priority="17" stopIfTrue="1" operator="lessThan">
      <formula>4</formula>
    </cfRule>
    <cfRule type="cellIs" dxfId="53" priority="18" stopIfTrue="1" operator="greaterThan">
      <formula>4</formula>
    </cfRule>
  </conditionalFormatting>
  <conditionalFormatting sqref="E30">
    <cfRule type="cellIs" dxfId="52" priority="13" stopIfTrue="1" operator="equal">
      <formula>4</formula>
    </cfRule>
    <cfRule type="cellIs" dxfId="51" priority="14" stopIfTrue="1" operator="lessThan">
      <formula>4</formula>
    </cfRule>
    <cfRule type="cellIs" dxfId="50" priority="15" stopIfTrue="1" operator="greaterThan">
      <formula>4</formula>
    </cfRule>
  </conditionalFormatting>
  <conditionalFormatting sqref="G30">
    <cfRule type="cellIs" dxfId="49" priority="10" stopIfTrue="1" operator="equal">
      <formula>4</formula>
    </cfRule>
    <cfRule type="cellIs" dxfId="48" priority="11" stopIfTrue="1" operator="lessThan">
      <formula>4</formula>
    </cfRule>
    <cfRule type="cellIs" dxfId="47" priority="12" stopIfTrue="1" operator="greaterThan">
      <formula>4</formula>
    </cfRule>
  </conditionalFormatting>
  <conditionalFormatting sqref="C34">
    <cfRule type="cellIs" dxfId="46" priority="7" stopIfTrue="1" operator="equal">
      <formula>4</formula>
    </cfRule>
    <cfRule type="cellIs" dxfId="45" priority="8" stopIfTrue="1" operator="lessThan">
      <formula>4</formula>
    </cfRule>
    <cfRule type="cellIs" dxfId="44" priority="9" stopIfTrue="1" operator="greaterThan">
      <formula>4</formula>
    </cfRule>
  </conditionalFormatting>
  <conditionalFormatting sqref="E34">
    <cfRule type="cellIs" dxfId="43" priority="4" stopIfTrue="1" operator="equal">
      <formula>4</formula>
    </cfRule>
    <cfRule type="cellIs" dxfId="42" priority="5" stopIfTrue="1" operator="lessThan">
      <formula>4</formula>
    </cfRule>
    <cfRule type="cellIs" dxfId="41" priority="6" stopIfTrue="1" operator="greaterThan">
      <formula>4</formula>
    </cfRule>
  </conditionalFormatting>
  <conditionalFormatting sqref="G34">
    <cfRule type="cellIs" dxfId="40" priority="1" stopIfTrue="1" operator="equal">
      <formula>4</formula>
    </cfRule>
    <cfRule type="cellIs" dxfId="39" priority="2" stopIfTrue="1" operator="lessThan">
      <formula>4</formula>
    </cfRule>
    <cfRule type="cellIs" dxfId="38" priority="3" stopIfTrue="1" operator="greaterThan">
      <formula>4</formula>
    </cfRule>
  </conditionalFormatting>
  <dataValidations count="1">
    <dataValidation type="decimal" errorStyle="warning" allowBlank="1" showInputMessage="1" showErrorMessage="1" errorTitle="Note invalide" error="Veuillez entrer une note valide (entre 1 et 6)" sqref="G3:I13 C20:C21 E20:E21 G20:G21 I20:I21 C24:C25 E24:E25 G24:G25 C28:C29 E28:E29 G28:G29 G32:G33 E32:E33 C32:C33" xr:uid="{FCA1DCBB-8081-4B9B-9EC9-F430E690B240}">
      <formula1>1</formula1>
      <formula2>6</formula2>
    </dataValidation>
  </dataValidations>
  <pageMargins left="0.70000000000000007" right="0.70000000000000007" top="0.75" bottom="0.75" header="0.30000000000000004" footer="0.30000000000000004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S37"/>
  <sheetViews>
    <sheetView workbookViewId="0">
      <selection activeCell="U14" sqref="U14"/>
    </sheetView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86" t="s">
        <v>0</v>
      </c>
      <c r="C2" s="86"/>
      <c r="D2" s="2" t="s">
        <v>1</v>
      </c>
      <c r="E2" s="3" t="s">
        <v>2</v>
      </c>
      <c r="G2" s="86" t="str">
        <f>B2</f>
        <v>I1</v>
      </c>
      <c r="H2" s="86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87" t="s">
        <v>3</v>
      </c>
      <c r="C3" s="1" t="s">
        <v>13</v>
      </c>
      <c r="D3" s="1" t="s">
        <v>13</v>
      </c>
      <c r="E3" s="5" t="s">
        <v>13</v>
      </c>
      <c r="G3" s="87" t="s">
        <v>16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87"/>
      <c r="C4" s="1" t="s">
        <v>13</v>
      </c>
      <c r="D4" s="1" t="s">
        <v>13</v>
      </c>
      <c r="E4" s="4" t="s">
        <v>13</v>
      </c>
      <c r="G4" s="87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87"/>
      <c r="C5" s="1" t="s">
        <v>13</v>
      </c>
      <c r="D5" s="1" t="s">
        <v>13</v>
      </c>
      <c r="E5" s="4" t="s">
        <v>13</v>
      </c>
      <c r="G5" s="87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87"/>
      <c r="C6" s="1" t="s">
        <v>13</v>
      </c>
      <c r="D6" s="1" t="s">
        <v>13</v>
      </c>
      <c r="E6" s="4" t="s">
        <v>13</v>
      </c>
      <c r="G6" s="87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87"/>
      <c r="C7" s="1" t="s">
        <v>13</v>
      </c>
      <c r="D7" s="1" t="s">
        <v>13</v>
      </c>
      <c r="E7" s="4" t="s">
        <v>13</v>
      </c>
      <c r="G7" s="87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87"/>
      <c r="C8" s="1" t="s">
        <v>13</v>
      </c>
      <c r="D8" s="1" t="s">
        <v>13</v>
      </c>
      <c r="E8" s="4" t="s">
        <v>13</v>
      </c>
      <c r="G8" s="87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87"/>
      <c r="C9" s="1" t="s">
        <v>13</v>
      </c>
      <c r="D9" s="1" t="s">
        <v>13</v>
      </c>
      <c r="E9" s="4" t="s">
        <v>13</v>
      </c>
      <c r="G9" s="87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87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87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86" t="s">
        <v>4</v>
      </c>
      <c r="C11" s="86"/>
      <c r="D11" s="2" t="s">
        <v>5</v>
      </c>
      <c r="E11" s="3" t="s">
        <v>6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87" t="s">
        <v>7</v>
      </c>
      <c r="C12" s="11" t="s">
        <v>13</v>
      </c>
      <c r="D12" s="11" t="s">
        <v>13</v>
      </c>
      <c r="E12" s="5" t="s">
        <v>13</v>
      </c>
      <c r="G12" s="88" t="s">
        <v>17</v>
      </c>
      <c r="H12" s="15" t="s">
        <v>10</v>
      </c>
      <c r="I12" s="14" t="s">
        <v>13</v>
      </c>
      <c r="J12" s="16" t="s">
        <v>11</v>
      </c>
    </row>
    <row r="13" spans="2:19" x14ac:dyDescent="0.25">
      <c r="B13" s="87"/>
      <c r="C13" s="1" t="s">
        <v>13</v>
      </c>
      <c r="D13" s="1" t="s">
        <v>13</v>
      </c>
      <c r="E13" s="4" t="s">
        <v>13</v>
      </c>
      <c r="G13" s="84"/>
      <c r="H13" s="15" t="s">
        <v>10</v>
      </c>
      <c r="I13" s="14" t="s">
        <v>13</v>
      </c>
      <c r="J13" s="16" t="s">
        <v>11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87"/>
      <c r="C14" s="1" t="s">
        <v>13</v>
      </c>
      <c r="D14" s="1" t="s">
        <v>13</v>
      </c>
      <c r="E14" s="4" t="s">
        <v>13</v>
      </c>
      <c r="G14" s="84"/>
      <c r="H14" s="15" t="s">
        <v>10</v>
      </c>
      <c r="I14" s="14" t="s">
        <v>13</v>
      </c>
      <c r="J14" s="16" t="s">
        <v>12</v>
      </c>
    </row>
    <row r="15" spans="2:19" x14ac:dyDescent="0.25">
      <c r="B15" s="87"/>
      <c r="C15" s="1" t="s">
        <v>13</v>
      </c>
      <c r="D15" s="1" t="s">
        <v>13</v>
      </c>
      <c r="E15" s="4" t="s">
        <v>13</v>
      </c>
      <c r="G15" s="84"/>
      <c r="H15" s="15" t="s">
        <v>10</v>
      </c>
      <c r="I15" s="14" t="s">
        <v>13</v>
      </c>
      <c r="J15" s="16" t="s">
        <v>11</v>
      </c>
    </row>
    <row r="16" spans="2:19" x14ac:dyDescent="0.25">
      <c r="B16" s="87"/>
      <c r="C16" s="1" t="s">
        <v>13</v>
      </c>
      <c r="D16" s="1" t="s">
        <v>13</v>
      </c>
      <c r="E16" s="4" t="s">
        <v>13</v>
      </c>
      <c r="G16" s="84"/>
      <c r="H16" s="15" t="s">
        <v>10</v>
      </c>
      <c r="I16" s="14" t="s">
        <v>13</v>
      </c>
      <c r="J16" s="16" t="s">
        <v>11</v>
      </c>
    </row>
    <row r="17" spans="2:10" x14ac:dyDescent="0.25">
      <c r="B17" s="87"/>
      <c r="C17" s="1" t="s">
        <v>13</v>
      </c>
      <c r="D17" s="1" t="s">
        <v>13</v>
      </c>
      <c r="E17" s="4" t="s">
        <v>13</v>
      </c>
      <c r="G17" s="84"/>
      <c r="H17" s="15" t="s">
        <v>10</v>
      </c>
      <c r="I17" s="14" t="s">
        <v>13</v>
      </c>
      <c r="J17" s="16" t="s">
        <v>11</v>
      </c>
    </row>
    <row r="18" spans="2:10" ht="15.75" thickBot="1" x14ac:dyDescent="0.3">
      <c r="B18" s="87"/>
      <c r="C18" s="1" t="s">
        <v>13</v>
      </c>
      <c r="D18" s="1" t="s">
        <v>13</v>
      </c>
      <c r="E18" s="4" t="s">
        <v>13</v>
      </c>
      <c r="G18" s="84"/>
      <c r="H18" s="15" t="s">
        <v>10</v>
      </c>
      <c r="I18" s="14" t="s">
        <v>13</v>
      </c>
      <c r="J18" s="16" t="s">
        <v>11</v>
      </c>
    </row>
    <row r="19" spans="2:10" x14ac:dyDescent="0.25">
      <c r="B19" s="87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84"/>
      <c r="H19" s="15" t="s">
        <v>10</v>
      </c>
      <c r="I19" s="14" t="s">
        <v>13</v>
      </c>
      <c r="J19" s="16" t="s">
        <v>11</v>
      </c>
    </row>
    <row r="20" spans="2:10" x14ac:dyDescent="0.25">
      <c r="B20" s="17"/>
      <c r="C20" s="17"/>
      <c r="D20" s="13"/>
      <c r="E20" s="13"/>
      <c r="G20" s="84"/>
      <c r="H20" s="15" t="s">
        <v>10</v>
      </c>
      <c r="I20" s="14" t="s">
        <v>13</v>
      </c>
      <c r="J20" s="16" t="s">
        <v>12</v>
      </c>
    </row>
    <row r="21" spans="2:10" x14ac:dyDescent="0.25">
      <c r="B21" s="83" t="s">
        <v>21</v>
      </c>
      <c r="C21" s="21" t="s">
        <v>18</v>
      </c>
      <c r="D21" s="22" t="s">
        <v>19</v>
      </c>
      <c r="E21" s="23" t="s">
        <v>20</v>
      </c>
      <c r="G21" s="84"/>
      <c r="H21" s="15" t="s">
        <v>10</v>
      </c>
      <c r="I21" s="14" t="s">
        <v>13</v>
      </c>
      <c r="J21" s="16" t="s">
        <v>11</v>
      </c>
    </row>
    <row r="22" spans="2:10" x14ac:dyDescent="0.25">
      <c r="B22" s="84"/>
      <c r="C22" s="1" t="s">
        <v>13</v>
      </c>
      <c r="D22" s="1" t="s">
        <v>13</v>
      </c>
      <c r="E22" s="24" t="s">
        <v>13</v>
      </c>
      <c r="G22" s="84"/>
      <c r="H22" s="15" t="s">
        <v>10</v>
      </c>
      <c r="I22" s="14" t="s">
        <v>13</v>
      </c>
      <c r="J22" s="16" t="s">
        <v>11</v>
      </c>
    </row>
    <row r="23" spans="2:10" x14ac:dyDescent="0.25">
      <c r="B23" s="84"/>
      <c r="C23" s="1" t="s">
        <v>13</v>
      </c>
      <c r="D23" s="1" t="s">
        <v>13</v>
      </c>
      <c r="E23" s="25" t="s">
        <v>13</v>
      </c>
      <c r="G23" s="84"/>
      <c r="H23" s="15" t="s">
        <v>10</v>
      </c>
      <c r="I23" s="14" t="s">
        <v>13</v>
      </c>
      <c r="J23" s="16" t="s">
        <v>12</v>
      </c>
    </row>
    <row r="24" spans="2:10" x14ac:dyDescent="0.25">
      <c r="B24" s="84"/>
      <c r="C24" s="1" t="s">
        <v>13</v>
      </c>
      <c r="D24" s="1" t="s">
        <v>13</v>
      </c>
      <c r="E24" s="25" t="s">
        <v>13</v>
      </c>
      <c r="G24" s="84"/>
      <c r="H24" s="15" t="s">
        <v>10</v>
      </c>
      <c r="I24" s="14" t="s">
        <v>13</v>
      </c>
      <c r="J24" s="16" t="s">
        <v>11</v>
      </c>
    </row>
    <row r="25" spans="2:10" x14ac:dyDescent="0.25">
      <c r="B25" s="84"/>
      <c r="C25" s="1" t="s">
        <v>13</v>
      </c>
      <c r="D25" s="1" t="s">
        <v>13</v>
      </c>
      <c r="E25" s="25" t="s">
        <v>13</v>
      </c>
      <c r="G25" s="85"/>
      <c r="H25" s="15" t="s">
        <v>10</v>
      </c>
      <c r="I25" s="14" t="s">
        <v>13</v>
      </c>
      <c r="J25" s="16" t="s">
        <v>11</v>
      </c>
    </row>
    <row r="26" spans="2:10" x14ac:dyDescent="0.25">
      <c r="B26" s="84"/>
      <c r="C26" s="1" t="s">
        <v>13</v>
      </c>
      <c r="D26" s="1" t="s">
        <v>13</v>
      </c>
      <c r="E26" s="25" t="s">
        <v>13</v>
      </c>
    </row>
    <row r="27" spans="2:10" x14ac:dyDescent="0.25">
      <c r="B27" s="84"/>
      <c r="C27" s="1" t="s">
        <v>13</v>
      </c>
      <c r="D27" s="1" t="s">
        <v>13</v>
      </c>
      <c r="E27" s="25" t="s">
        <v>13</v>
      </c>
    </row>
    <row r="28" spans="2:10" x14ac:dyDescent="0.25">
      <c r="B28" s="84"/>
      <c r="C28" s="1" t="s">
        <v>13</v>
      </c>
      <c r="D28" s="1" t="s">
        <v>13</v>
      </c>
      <c r="E28" s="25" t="s">
        <v>13</v>
      </c>
      <c r="G28" s="12"/>
    </row>
    <row r="29" spans="2:10" x14ac:dyDescent="0.25">
      <c r="B29" s="84"/>
      <c r="C29" s="1" t="s">
        <v>13</v>
      </c>
      <c r="D29" s="1" t="s">
        <v>13</v>
      </c>
      <c r="E29" s="25" t="s">
        <v>13</v>
      </c>
    </row>
    <row r="30" spans="2:10" ht="15.75" thickBot="1" x14ac:dyDescent="0.3">
      <c r="B30" s="84"/>
      <c r="C30" s="1" t="s">
        <v>13</v>
      </c>
      <c r="D30" s="1" t="s">
        <v>13</v>
      </c>
      <c r="E30" s="25" t="s">
        <v>13</v>
      </c>
      <c r="G30" s="12"/>
    </row>
    <row r="31" spans="2:10" x14ac:dyDescent="0.25">
      <c r="B31" s="85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21:B31"/>
    <mergeCell ref="B2:C2"/>
    <mergeCell ref="G2:H2"/>
    <mergeCell ref="B3:B10"/>
    <mergeCell ref="G3:G10"/>
    <mergeCell ref="B11:C11"/>
    <mergeCell ref="B12:B19"/>
    <mergeCell ref="G12:G25"/>
  </mergeCells>
  <conditionalFormatting sqref="C10:E10">
    <cfRule type="cellIs" dxfId="37" priority="13" stopIfTrue="1" operator="equal">
      <formula>4</formula>
    </cfRule>
    <cfRule type="cellIs" dxfId="36" priority="14" stopIfTrue="1" operator="lessThan">
      <formula>4</formula>
    </cfRule>
    <cfRule type="cellIs" dxfId="35" priority="15" stopIfTrue="1" operator="greaterThan">
      <formula>4</formula>
    </cfRule>
  </conditionalFormatting>
  <conditionalFormatting sqref="C19:E19">
    <cfRule type="cellIs" dxfId="34" priority="10" stopIfTrue="1" operator="equal">
      <formula>4</formula>
    </cfRule>
    <cfRule type="cellIs" dxfId="33" priority="11" stopIfTrue="1" operator="lessThan">
      <formula>4</formula>
    </cfRule>
    <cfRule type="cellIs" dxfId="32" priority="12" stopIfTrue="1" operator="greaterThan">
      <formula>4</formula>
    </cfRule>
  </conditionalFormatting>
  <conditionalFormatting sqref="C31:E31">
    <cfRule type="cellIs" dxfId="31" priority="1" stopIfTrue="1" operator="equal">
      <formula>4</formula>
    </cfRule>
    <cfRule type="cellIs" dxfId="30" priority="2" stopIfTrue="1" operator="lessThan">
      <formula>4</formula>
    </cfRule>
    <cfRule type="cellIs" dxfId="29" priority="3" stopIfTrue="1" operator="greaterThan">
      <formula>4</formula>
    </cfRule>
  </conditionalFormatting>
  <conditionalFormatting sqref="H10:M10">
    <cfRule type="cellIs" dxfId="28" priority="7" stopIfTrue="1" operator="equal">
      <formula>4</formula>
    </cfRule>
    <cfRule type="cellIs" dxfId="27" priority="8" stopIfTrue="1" operator="lessThan">
      <formula>4</formula>
    </cfRule>
    <cfRule type="cellIs" dxfId="26" priority="9" stopIfTrue="1" operator="greaterThan">
      <formula>4</formula>
    </cfRule>
  </conditionalFormatting>
  <conditionalFormatting sqref="I12:I25">
    <cfRule type="cellIs" dxfId="25" priority="25" operator="equal">
      <formula>"LA"</formula>
    </cfRule>
    <cfRule type="cellIs" dxfId="24" priority="26" operator="equal">
      <formula>"A"</formula>
    </cfRule>
    <cfRule type="cellIs" dxfId="23" priority="27" operator="equal">
      <formula>"NA"</formula>
    </cfRule>
    <cfRule type="cellIs" dxfId="22" priority="28" operator="equal">
      <formula>"PA"</formula>
    </cfRule>
  </conditionalFormatting>
  <conditionalFormatting sqref="M11">
    <cfRule type="cellIs" dxfId="21" priority="4" stopIfTrue="1" operator="equal">
      <formula>4</formula>
    </cfRule>
    <cfRule type="cellIs" dxfId="20" priority="5" stopIfTrue="1" operator="lessThan">
      <formula>4</formula>
    </cfRule>
    <cfRule type="cellIs" dxfId="19" priority="6" stopIfTrue="1" operator="greaterThan">
      <formula>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S37"/>
  <sheetViews>
    <sheetView workbookViewId="0"/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86" t="s">
        <v>0</v>
      </c>
      <c r="C2" s="86"/>
      <c r="D2" s="2" t="s">
        <v>1</v>
      </c>
      <c r="E2" s="3" t="s">
        <v>2</v>
      </c>
      <c r="G2" s="86" t="str">
        <f>B2</f>
        <v>I1</v>
      </c>
      <c r="H2" s="86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87" t="s">
        <v>8</v>
      </c>
      <c r="C3" s="1" t="s">
        <v>13</v>
      </c>
      <c r="D3" s="1" t="s">
        <v>13</v>
      </c>
      <c r="E3" s="5" t="s">
        <v>13</v>
      </c>
      <c r="G3" s="87" t="s">
        <v>15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87"/>
      <c r="C4" s="1" t="s">
        <v>13</v>
      </c>
      <c r="D4" s="1" t="s">
        <v>13</v>
      </c>
      <c r="E4" s="4" t="s">
        <v>13</v>
      </c>
      <c r="G4" s="87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87"/>
      <c r="C5" s="1" t="s">
        <v>13</v>
      </c>
      <c r="D5" s="1" t="s">
        <v>13</v>
      </c>
      <c r="E5" s="4" t="s">
        <v>13</v>
      </c>
      <c r="G5" s="87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87"/>
      <c r="C6" s="1" t="s">
        <v>13</v>
      </c>
      <c r="D6" s="1" t="s">
        <v>13</v>
      </c>
      <c r="E6" s="4" t="s">
        <v>13</v>
      </c>
      <c r="G6" s="87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87"/>
      <c r="C7" s="1" t="s">
        <v>13</v>
      </c>
      <c r="D7" s="1" t="s">
        <v>13</v>
      </c>
      <c r="E7" s="4" t="s">
        <v>13</v>
      </c>
      <c r="G7" s="87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87"/>
      <c r="C8" s="1" t="s">
        <v>13</v>
      </c>
      <c r="D8" s="1" t="s">
        <v>13</v>
      </c>
      <c r="E8" s="4" t="s">
        <v>13</v>
      </c>
      <c r="G8" s="87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87"/>
      <c r="C9" s="1" t="s">
        <v>13</v>
      </c>
      <c r="D9" s="1" t="s">
        <v>13</v>
      </c>
      <c r="E9" s="4" t="s">
        <v>13</v>
      </c>
      <c r="G9" s="87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87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87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86" t="s">
        <v>4</v>
      </c>
      <c r="C11" s="86"/>
      <c r="D11" s="2" t="s">
        <v>5</v>
      </c>
      <c r="E11" s="3" t="s">
        <v>6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87" t="s">
        <v>9</v>
      </c>
      <c r="C12" s="11" t="s">
        <v>13</v>
      </c>
      <c r="D12" s="11" t="s">
        <v>13</v>
      </c>
      <c r="E12" s="5" t="s">
        <v>13</v>
      </c>
      <c r="G12" s="88" t="s">
        <v>14</v>
      </c>
      <c r="H12" s="15" t="s">
        <v>10</v>
      </c>
      <c r="I12" s="14" t="s">
        <v>13</v>
      </c>
      <c r="J12" s="16" t="s">
        <v>11</v>
      </c>
    </row>
    <row r="13" spans="2:19" x14ac:dyDescent="0.25">
      <c r="B13" s="87"/>
      <c r="C13" s="1" t="s">
        <v>13</v>
      </c>
      <c r="D13" s="1" t="s">
        <v>13</v>
      </c>
      <c r="E13" s="4" t="s">
        <v>13</v>
      </c>
      <c r="G13" s="84"/>
      <c r="H13" s="15" t="s">
        <v>10</v>
      </c>
      <c r="I13" s="14" t="s">
        <v>13</v>
      </c>
      <c r="J13" s="16" t="s">
        <v>11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87"/>
      <c r="C14" s="1" t="s">
        <v>13</v>
      </c>
      <c r="D14" s="1" t="s">
        <v>13</v>
      </c>
      <c r="E14" s="4" t="s">
        <v>13</v>
      </c>
      <c r="G14" s="84"/>
      <c r="H14" s="15" t="s">
        <v>10</v>
      </c>
      <c r="I14" s="14" t="s">
        <v>13</v>
      </c>
      <c r="J14" s="16" t="s">
        <v>12</v>
      </c>
    </row>
    <row r="15" spans="2:19" x14ac:dyDescent="0.25">
      <c r="B15" s="87"/>
      <c r="C15" s="1" t="s">
        <v>13</v>
      </c>
      <c r="D15" s="1" t="s">
        <v>13</v>
      </c>
      <c r="E15" s="4" t="s">
        <v>13</v>
      </c>
      <c r="G15" s="84"/>
      <c r="H15" s="15" t="s">
        <v>10</v>
      </c>
      <c r="I15" s="14" t="s">
        <v>13</v>
      </c>
      <c r="J15" s="16" t="s">
        <v>11</v>
      </c>
    </row>
    <row r="16" spans="2:19" x14ac:dyDescent="0.25">
      <c r="B16" s="87"/>
      <c r="C16" s="1" t="s">
        <v>13</v>
      </c>
      <c r="D16" s="1" t="s">
        <v>13</v>
      </c>
      <c r="E16" s="4" t="s">
        <v>13</v>
      </c>
      <c r="G16" s="84"/>
      <c r="H16" s="15" t="s">
        <v>10</v>
      </c>
      <c r="I16" s="14" t="s">
        <v>13</v>
      </c>
      <c r="J16" s="16" t="s">
        <v>11</v>
      </c>
    </row>
    <row r="17" spans="2:10" x14ac:dyDescent="0.25">
      <c r="B17" s="87"/>
      <c r="C17" s="1" t="s">
        <v>13</v>
      </c>
      <c r="D17" s="1" t="s">
        <v>13</v>
      </c>
      <c r="E17" s="4" t="s">
        <v>13</v>
      </c>
      <c r="G17" s="84"/>
      <c r="H17" s="15" t="s">
        <v>10</v>
      </c>
      <c r="I17" s="14" t="s">
        <v>13</v>
      </c>
      <c r="J17" s="16" t="s">
        <v>11</v>
      </c>
    </row>
    <row r="18" spans="2:10" ht="15.75" thickBot="1" x14ac:dyDescent="0.3">
      <c r="B18" s="87"/>
      <c r="C18" s="1" t="s">
        <v>13</v>
      </c>
      <c r="D18" s="1" t="s">
        <v>13</v>
      </c>
      <c r="E18" s="4" t="s">
        <v>13</v>
      </c>
      <c r="G18" s="84"/>
      <c r="H18" s="15" t="s">
        <v>10</v>
      </c>
      <c r="I18" s="14" t="s">
        <v>13</v>
      </c>
      <c r="J18" s="16" t="s">
        <v>11</v>
      </c>
    </row>
    <row r="19" spans="2:10" x14ac:dyDescent="0.25">
      <c r="B19" s="87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84"/>
      <c r="H19" s="15" t="s">
        <v>10</v>
      </c>
      <c r="I19" s="14" t="s">
        <v>13</v>
      </c>
      <c r="J19" s="16" t="s">
        <v>11</v>
      </c>
    </row>
    <row r="20" spans="2:10" x14ac:dyDescent="0.25">
      <c r="B20" s="17"/>
      <c r="C20" s="17"/>
      <c r="D20" s="13"/>
      <c r="E20" s="13"/>
      <c r="G20" s="84"/>
      <c r="H20" s="15" t="s">
        <v>10</v>
      </c>
      <c r="I20" s="14" t="s">
        <v>13</v>
      </c>
      <c r="J20" s="16" t="s">
        <v>12</v>
      </c>
    </row>
    <row r="21" spans="2:10" x14ac:dyDescent="0.25">
      <c r="B21" s="83" t="s">
        <v>21</v>
      </c>
      <c r="C21" s="21" t="s">
        <v>18</v>
      </c>
      <c r="D21" s="22" t="s">
        <v>19</v>
      </c>
      <c r="E21" s="23" t="s">
        <v>20</v>
      </c>
      <c r="G21" s="84"/>
      <c r="H21" s="15" t="s">
        <v>10</v>
      </c>
      <c r="I21" s="14" t="s">
        <v>13</v>
      </c>
      <c r="J21" s="16" t="s">
        <v>11</v>
      </c>
    </row>
    <row r="22" spans="2:10" x14ac:dyDescent="0.25">
      <c r="B22" s="84"/>
      <c r="C22" s="1" t="s">
        <v>13</v>
      </c>
      <c r="D22" s="1" t="s">
        <v>13</v>
      </c>
      <c r="E22" s="24" t="s">
        <v>13</v>
      </c>
      <c r="G22" s="84"/>
      <c r="H22" s="15" t="s">
        <v>10</v>
      </c>
      <c r="I22" s="14" t="s">
        <v>13</v>
      </c>
      <c r="J22" s="16" t="s">
        <v>11</v>
      </c>
    </row>
    <row r="23" spans="2:10" x14ac:dyDescent="0.25">
      <c r="B23" s="84"/>
      <c r="C23" s="1" t="s">
        <v>13</v>
      </c>
      <c r="D23" s="1" t="s">
        <v>13</v>
      </c>
      <c r="E23" s="25" t="s">
        <v>13</v>
      </c>
      <c r="G23" s="84"/>
      <c r="H23" s="15" t="s">
        <v>10</v>
      </c>
      <c r="I23" s="14" t="s">
        <v>13</v>
      </c>
      <c r="J23" s="16" t="s">
        <v>12</v>
      </c>
    </row>
    <row r="24" spans="2:10" x14ac:dyDescent="0.25">
      <c r="B24" s="84"/>
      <c r="C24" s="1" t="s">
        <v>13</v>
      </c>
      <c r="D24" s="1" t="s">
        <v>13</v>
      </c>
      <c r="E24" s="25" t="s">
        <v>13</v>
      </c>
      <c r="G24" s="84"/>
      <c r="H24" s="15" t="s">
        <v>10</v>
      </c>
      <c r="I24" s="14" t="s">
        <v>13</v>
      </c>
      <c r="J24" s="16" t="s">
        <v>11</v>
      </c>
    </row>
    <row r="25" spans="2:10" x14ac:dyDescent="0.25">
      <c r="B25" s="84"/>
      <c r="C25" s="1" t="s">
        <v>13</v>
      </c>
      <c r="D25" s="1" t="s">
        <v>13</v>
      </c>
      <c r="E25" s="25" t="s">
        <v>13</v>
      </c>
      <c r="G25" s="85"/>
      <c r="H25" s="15" t="s">
        <v>10</v>
      </c>
      <c r="I25" s="14" t="s">
        <v>13</v>
      </c>
      <c r="J25" s="16" t="s">
        <v>11</v>
      </c>
    </row>
    <row r="26" spans="2:10" x14ac:dyDescent="0.25">
      <c r="B26" s="84"/>
      <c r="C26" s="1" t="s">
        <v>13</v>
      </c>
      <c r="D26" s="1" t="s">
        <v>13</v>
      </c>
      <c r="E26" s="25" t="s">
        <v>13</v>
      </c>
    </row>
    <row r="27" spans="2:10" x14ac:dyDescent="0.25">
      <c r="B27" s="84"/>
      <c r="C27" s="1" t="s">
        <v>13</v>
      </c>
      <c r="D27" s="1" t="s">
        <v>13</v>
      </c>
      <c r="E27" s="25" t="s">
        <v>13</v>
      </c>
    </row>
    <row r="28" spans="2:10" x14ac:dyDescent="0.25">
      <c r="B28" s="84"/>
      <c r="C28" s="1" t="s">
        <v>13</v>
      </c>
      <c r="D28" s="1" t="s">
        <v>13</v>
      </c>
      <c r="E28" s="25" t="s">
        <v>13</v>
      </c>
      <c r="G28" s="12"/>
    </row>
    <row r="29" spans="2:10" x14ac:dyDescent="0.25">
      <c r="B29" s="84"/>
      <c r="C29" s="1" t="s">
        <v>13</v>
      </c>
      <c r="D29" s="1" t="s">
        <v>13</v>
      </c>
      <c r="E29" s="25" t="s">
        <v>13</v>
      </c>
    </row>
    <row r="30" spans="2:10" ht="15.75" thickBot="1" x14ac:dyDescent="0.3">
      <c r="B30" s="84"/>
      <c r="C30" s="1" t="s">
        <v>13</v>
      </c>
      <c r="D30" s="1" t="s">
        <v>13</v>
      </c>
      <c r="E30" s="25" t="s">
        <v>13</v>
      </c>
      <c r="G30" s="12"/>
    </row>
    <row r="31" spans="2:10" x14ac:dyDescent="0.25">
      <c r="B31" s="85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12:B19"/>
    <mergeCell ref="G12:G25"/>
    <mergeCell ref="B21:B31"/>
    <mergeCell ref="B2:C2"/>
    <mergeCell ref="G2:H2"/>
    <mergeCell ref="B3:B10"/>
    <mergeCell ref="G3:G10"/>
    <mergeCell ref="B11:C11"/>
  </mergeCells>
  <conditionalFormatting sqref="C10:E10">
    <cfRule type="cellIs" dxfId="18" priority="13" stopIfTrue="1" operator="equal">
      <formula>4</formula>
    </cfRule>
    <cfRule type="cellIs" dxfId="17" priority="14" stopIfTrue="1" operator="lessThan">
      <formula>4</formula>
    </cfRule>
    <cfRule type="cellIs" dxfId="16" priority="15" stopIfTrue="1" operator="greaterThan">
      <formula>4</formula>
    </cfRule>
  </conditionalFormatting>
  <conditionalFormatting sqref="C19:E19">
    <cfRule type="cellIs" dxfId="15" priority="10" stopIfTrue="1" operator="equal">
      <formula>4</formula>
    </cfRule>
    <cfRule type="cellIs" dxfId="14" priority="11" stopIfTrue="1" operator="lessThan">
      <formula>4</formula>
    </cfRule>
    <cfRule type="cellIs" dxfId="13" priority="12" stopIfTrue="1" operator="greaterThan">
      <formula>4</formula>
    </cfRule>
  </conditionalFormatting>
  <conditionalFormatting sqref="C31:E31">
    <cfRule type="cellIs" dxfId="12" priority="1" stopIfTrue="1" operator="equal">
      <formula>4</formula>
    </cfRule>
    <cfRule type="cellIs" dxfId="11" priority="2" stopIfTrue="1" operator="lessThan">
      <formula>4</formula>
    </cfRule>
    <cfRule type="cellIs" dxfId="10" priority="3" stopIfTrue="1" operator="greaterThan">
      <formula>4</formula>
    </cfRule>
  </conditionalFormatting>
  <conditionalFormatting sqref="H10:M10">
    <cfRule type="cellIs" dxfId="9" priority="7" stopIfTrue="1" operator="equal">
      <formula>4</formula>
    </cfRule>
    <cfRule type="cellIs" dxfId="8" priority="8" stopIfTrue="1" operator="lessThan">
      <formula>4</formula>
    </cfRule>
    <cfRule type="cellIs" dxfId="7" priority="9" stopIfTrue="1" operator="greaterThan">
      <formula>4</formula>
    </cfRule>
  </conditionalFormatting>
  <conditionalFormatting sqref="I12:I25">
    <cfRule type="cellIs" dxfId="6" priority="19" operator="equal">
      <formula>"LA"</formula>
    </cfRule>
    <cfRule type="cellIs" dxfId="5" priority="20" operator="equal">
      <formula>"A"</formula>
    </cfRule>
    <cfRule type="cellIs" dxfId="4" priority="21" operator="equal">
      <formula>"NA"</formula>
    </cfRule>
    <cfRule type="cellIs" dxfId="3" priority="22" operator="equal">
      <formula>"PA"</formula>
    </cfRule>
  </conditionalFormatting>
  <conditionalFormatting sqref="M11">
    <cfRule type="cellIs" dxfId="2" priority="4" stopIfTrue="1" operator="equal">
      <formula>4</formula>
    </cfRule>
    <cfRule type="cellIs" dxfId="1" priority="5" stopIfTrue="1" operator="lessThan">
      <formula>4</formula>
    </cfRule>
    <cfRule type="cellIs" dxfId="0" priority="6" stopIfTrue="1" operator="greaterThan">
      <formula>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2ème</vt:lpstr>
      <vt:lpstr>3ème</vt:lpstr>
      <vt:lpstr>4ème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Mateja Velickovic</dc:creator>
  <cp:lastModifiedBy>Cyril Constant Napoleone</cp:lastModifiedBy>
  <dcterms:created xsi:type="dcterms:W3CDTF">2023-06-13T06:08:25Z</dcterms:created>
  <dcterms:modified xsi:type="dcterms:W3CDTF">2024-02-23T13:24:31Z</dcterms:modified>
</cp:coreProperties>
</file>